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Fintech\masai_assignment_2\02_spreadsheet\"/>
    </mc:Choice>
  </mc:AlternateContent>
  <xr:revisionPtr revIDLastSave="0" documentId="13_ncr:1_{AA1295D8-4F52-43EB-8D18-FBEF232F9EAE}" xr6:coauthVersionLast="47" xr6:coauthVersionMax="47" xr10:uidLastSave="{00000000-0000-0000-0000-000000000000}"/>
  <bookViews>
    <workbookView xWindow="-108" yWindow="-108" windowWidth="23256" windowHeight="12456" activeTab="1" xr2:uid="{EB947C77-8790-44C6-BA66-818AF7674364}"/>
  </bookViews>
  <sheets>
    <sheet name="merchant_risk_summary" sheetId="6" r:id="rId1"/>
    <sheet name="transactions_raw" sheetId="2" r:id="rId2"/>
    <sheet name="merchant_master" sheetId="1" r:id="rId3"/>
    <sheet name="exchange_rates" sheetId="4" r:id="rId4"/>
  </sheets>
  <definedNames>
    <definedName name="ExternalData_1" localSheetId="3" hidden="1">exchange_rates!$A$1:$B$19</definedName>
    <definedName name="ExternalData_1" localSheetId="1" hidden="1">transactions_raw!$A$1:$J$30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2" l="1"/>
  <c r="L30" i="2"/>
  <c r="M30" i="2" s="1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R30" i="2"/>
  <c r="S30" i="2" s="1"/>
  <c r="T30" i="2" s="1"/>
  <c r="Q2" i="2"/>
  <c r="Q3" i="2"/>
  <c r="R2" i="2" s="1"/>
  <c r="S2" i="2" s="1"/>
  <c r="Q4" i="2"/>
  <c r="R3" i="2" s="1"/>
  <c r="S3" i="2" s="1"/>
  <c r="Q5" i="2"/>
  <c r="R4" i="2" s="1"/>
  <c r="S4" i="2" s="1"/>
  <c r="Q6" i="2"/>
  <c r="R5" i="2" s="1"/>
  <c r="S5" i="2" s="1"/>
  <c r="Q7" i="2"/>
  <c r="R6" i="2" s="1"/>
  <c r="S6" i="2" s="1"/>
  <c r="Q8" i="2"/>
  <c r="R7" i="2" s="1"/>
  <c r="S7" i="2" s="1"/>
  <c r="Q9" i="2"/>
  <c r="R8" i="2" s="1"/>
  <c r="S8" i="2" s="1"/>
  <c r="Q10" i="2"/>
  <c r="R9" i="2" s="1"/>
  <c r="S9" i="2" s="1"/>
  <c r="Q11" i="2"/>
  <c r="R10" i="2" s="1"/>
  <c r="S10" i="2" s="1"/>
  <c r="Q12" i="2"/>
  <c r="R11" i="2" s="1"/>
  <c r="S11" i="2" s="1"/>
  <c r="Q13" i="2"/>
  <c r="R12" i="2" s="1"/>
  <c r="S12" i="2" s="1"/>
  <c r="Q14" i="2"/>
  <c r="R13" i="2" s="1"/>
  <c r="S13" i="2" s="1"/>
  <c r="Q15" i="2"/>
  <c r="R14" i="2" s="1"/>
  <c r="S14" i="2" s="1"/>
  <c r="Q16" i="2"/>
  <c r="R15" i="2" s="1"/>
  <c r="S15" i="2" s="1"/>
  <c r="Q17" i="2"/>
  <c r="R16" i="2" s="1"/>
  <c r="S16" i="2" s="1"/>
  <c r="Q18" i="2"/>
  <c r="R17" i="2" s="1"/>
  <c r="S17" i="2" s="1"/>
  <c r="Q19" i="2"/>
  <c r="R18" i="2" s="1"/>
  <c r="S18" i="2" s="1"/>
  <c r="Q20" i="2"/>
  <c r="R19" i="2" s="1"/>
  <c r="S19" i="2" s="1"/>
  <c r="Q21" i="2"/>
  <c r="R20" i="2" s="1"/>
  <c r="S20" i="2" s="1"/>
  <c r="Q22" i="2"/>
  <c r="R21" i="2" s="1"/>
  <c r="S21" i="2" s="1"/>
  <c r="Q23" i="2"/>
  <c r="R22" i="2" s="1"/>
  <c r="S22" i="2" s="1"/>
  <c r="Q24" i="2"/>
  <c r="R23" i="2" s="1"/>
  <c r="S23" i="2" s="1"/>
  <c r="Q25" i="2"/>
  <c r="R24" i="2" s="1"/>
  <c r="S24" i="2" s="1"/>
  <c r="Q26" i="2"/>
  <c r="R25" i="2" s="1"/>
  <c r="S25" i="2" s="1"/>
  <c r="Q27" i="2"/>
  <c r="R26" i="2" s="1"/>
  <c r="S26" i="2" s="1"/>
  <c r="Q28" i="2"/>
  <c r="R27" i="2" s="1"/>
  <c r="S27" i="2" s="1"/>
  <c r="Q29" i="2"/>
  <c r="R28" i="2" s="1"/>
  <c r="S28" i="2" s="1"/>
  <c r="Q30" i="2"/>
  <c r="R29" i="2" s="1"/>
  <c r="S29" i="2" s="1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P2" i="2"/>
  <c r="U2" i="2" s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U26" i="2" s="1"/>
  <c r="P27" i="2"/>
  <c r="U27" i="2" s="1"/>
  <c r="P28" i="2"/>
  <c r="U28" i="2" s="1"/>
  <c r="P29" i="2"/>
  <c r="U29" i="2" s="1"/>
  <c r="P30" i="2"/>
  <c r="F3" i="1"/>
  <c r="F4" i="1"/>
  <c r="F5" i="1"/>
  <c r="F6" i="1"/>
  <c r="F2" i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U30" i="2" l="1"/>
  <c r="U4" i="2"/>
  <c r="U5" i="2"/>
  <c r="U6" i="2"/>
  <c r="U8" i="2"/>
  <c r="U9" i="2"/>
  <c r="U10" i="2"/>
  <c r="U12" i="2"/>
  <c r="U13" i="2"/>
  <c r="U14" i="2"/>
  <c r="U15" i="2"/>
  <c r="U16" i="2"/>
  <c r="U17" i="2"/>
  <c r="U19" i="2"/>
  <c r="U20" i="2"/>
  <c r="U21" i="2"/>
  <c r="U22" i="2"/>
  <c r="U25" i="2"/>
  <c r="U18" i="2"/>
  <c r="U11" i="2"/>
  <c r="U24" i="2"/>
  <c r="U7" i="2"/>
  <c r="U23" i="2"/>
  <c r="U3" i="2"/>
  <c r="T2" i="2"/>
  <c r="T3" i="2"/>
  <c r="T4" i="2"/>
  <c r="T5" i="2"/>
  <c r="T6" i="2"/>
  <c r="T7" i="2"/>
  <c r="T8" i="2"/>
  <c r="T9" i="2"/>
  <c r="T10" i="2"/>
  <c r="T11" i="2"/>
  <c r="T12" i="2"/>
  <c r="T20" i="2"/>
  <c r="T22" i="2"/>
  <c r="T24" i="2"/>
  <c r="T13" i="2"/>
  <c r="T14" i="2"/>
  <c r="T15" i="2"/>
  <c r="T16" i="2"/>
  <c r="T17" i="2"/>
  <c r="T18" i="2"/>
  <c r="T19" i="2"/>
  <c r="T21" i="2"/>
  <c r="T23" i="2"/>
  <c r="T25" i="2"/>
  <c r="T26" i="2"/>
  <c r="T27" i="2"/>
  <c r="T28" i="2"/>
  <c r="T2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6A84F0-D5E4-4792-A8D7-6CDC76A6F1E0}" keepAlive="1" name="Query - exchange_rates" description="Connection to the 'exchange_rates' query in the workbook." type="5" refreshedVersion="8" background="1" saveData="1">
    <dbPr connection="Provider=Microsoft.Mashup.OleDb.1;Data Source=$Workbook$;Location=exchange_rates;Extended Properties=&quot;&quot;" command="SELECT * FROM [exchange_rates]"/>
  </connection>
  <connection id="2" xr16:uid="{995B3713-F106-47F7-BAE0-5D583D1DBF8F}" keepAlive="1" name="Query - merchant_master" description="Connection to the 'merchant_master' query in the workbook." type="5" refreshedVersion="0" background="1">
    <dbPr connection="Provider=Microsoft.Mashup.OleDb.1;Data Source=$Workbook$;Location=merchant_master;Extended Properties=&quot;&quot;" command="SELECT * FROM [merchant_master]"/>
  </connection>
  <connection id="3" xr16:uid="{CE66DAAF-A748-45CE-93C4-042224D748BD}" keepAlive="1" name="Query - transactions_raw" description="Connection to the 'transactions_raw' query in the workbook." type="5" refreshedVersion="8" background="1" saveData="1">
    <dbPr connection="Provider=Microsoft.Mashup.OleDb.1;Data Source=$Workbook$;Location=transactions_raw;Extended Properties=&quot;&quot;" command="SELECT * FROM [transactions_raw]"/>
  </connection>
</connections>
</file>

<file path=xl/sharedStrings.xml><?xml version="1.0" encoding="utf-8"?>
<sst xmlns="http://schemas.openxmlformats.org/spreadsheetml/2006/main" count="318" uniqueCount="160">
  <si>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</si>
  <si>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</si>
  <si>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</si>
  <si>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</si>
  <si>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</si>
  <si>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</si>
  <si>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</si>
  <si>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</si>
  <si>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</si>
  <si>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</si>
  <si>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</si>
  <si>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 xml:space="preserve"> alpha mart </t>
  </si>
  <si>
    <t>INR</t>
  </si>
  <si>
    <t>captured</t>
  </si>
  <si>
    <t>score:62</t>
  </si>
  <si>
    <t>APAC</t>
  </si>
  <si>
    <t>U001</t>
  </si>
  <si>
    <t>UPI</t>
  </si>
  <si>
    <t>ALPHA MART</t>
  </si>
  <si>
    <t xml:space="preserve">Captured </t>
  </si>
  <si>
    <t/>
  </si>
  <si>
    <t>U002</t>
  </si>
  <si>
    <t>Card</t>
  </si>
  <si>
    <t>T003</t>
  </si>
  <si>
    <t xml:space="preserve">BETA STORES </t>
  </si>
  <si>
    <t xml:space="preserve"> CAPTURED</t>
  </si>
  <si>
    <t>71</t>
  </si>
  <si>
    <t xml:space="preserve"> APAC </t>
  </si>
  <si>
    <t>U003</t>
  </si>
  <si>
    <t>NetBanking</t>
  </si>
  <si>
    <t>T004</t>
  </si>
  <si>
    <t>Beta  Stores</t>
  </si>
  <si>
    <t xml:space="preserve"> failed e05 timeout </t>
  </si>
  <si>
    <t>68</t>
  </si>
  <si>
    <t>apac</t>
  </si>
  <si>
    <t>U004</t>
  </si>
  <si>
    <t>T005</t>
  </si>
  <si>
    <t>Alpha Mart</t>
  </si>
  <si>
    <t xml:space="preserve">58 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</si>
  <si>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</si>
  <si>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</si>
  <si>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</si>
  <si>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</si>
  <si>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</si>
  <si>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</si>
  <si>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</si>
  <si>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</si>
  <si>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</si>
  <si>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</si>
  <si>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 xml:space="preserve">59 </t>
  </si>
  <si>
    <t>U007</t>
  </si>
  <si>
    <t>T009</t>
  </si>
  <si>
    <t>46</t>
  </si>
  <si>
    <t>T010</t>
  </si>
  <si>
    <t>Beta Stores</t>
  </si>
  <si>
    <t>risk-77</t>
  </si>
  <si>
    <t>T011</t>
  </si>
  <si>
    <t>FAILED e05 TIMEOUT</t>
  </si>
  <si>
    <t>U008</t>
  </si>
  <si>
    <t>T012</t>
  </si>
  <si>
    <t xml:space="preserve">captured 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</si>
  <si>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</si>
  <si>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</si>
  <si>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</si>
  <si>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</si>
  <si>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</si>
  <si>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</si>
  <si>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</si>
  <si>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</si>
  <si>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</si>
  <si>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</si>
  <si>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</si>
  <si>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</si>
  <si>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</si>
  <si>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</si>
  <si>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</si>
  <si>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</si>
  <si>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 xml:space="preserve"> chargeback </t>
  </si>
  <si>
    <t>risk-86</t>
  </si>
  <si>
    <t>T019</t>
  </si>
  <si>
    <t>score:67</t>
  </si>
  <si>
    <t>T020</t>
  </si>
  <si>
    <t xml:space="preserve">75 </t>
  </si>
  <si>
    <t>T021</t>
  </si>
  <si>
    <t xml:space="preserve"> beta stores</t>
  </si>
  <si>
    <t>score:63</t>
  </si>
  <si>
    <t>T022</t>
  </si>
  <si>
    <t xml:space="preserve">60 </t>
  </si>
  <si>
    <t>T023</t>
  </si>
  <si>
    <t>City Pharma</t>
  </si>
  <si>
    <t>EUR</t>
  </si>
  <si>
    <t>42</t>
  </si>
  <si>
    <t xml:space="preserve"> EU </t>
  </si>
  <si>
    <t>T024</t>
  </si>
  <si>
    <t>Eco Home</t>
  </si>
  <si>
    <t>score:65</t>
  </si>
  <si>
    <t>EU</t>
  </si>
  <si>
    <t>T025</t>
  </si>
  <si>
    <t xml:space="preserve">38 </t>
  </si>
  <si>
    <t>eu</t>
  </si>
  <si>
    <t>T026</t>
  </si>
  <si>
    <t>44</t>
  </si>
  <si>
    <t>T027</t>
  </si>
  <si>
    <t>DELTA TRAVELS</t>
  </si>
  <si>
    <t>USD</t>
  </si>
  <si>
    <t xml:space="preserve">49 </t>
  </si>
  <si>
    <t>us</t>
  </si>
  <si>
    <t>T028</t>
  </si>
  <si>
    <t>Delta Travels</t>
  </si>
  <si>
    <t>risk-41</t>
  </si>
  <si>
    <t>US</t>
  </si>
  <si>
    <t>T029</t>
  </si>
  <si>
    <t xml:space="preserve">delta travels </t>
  </si>
  <si>
    <t>score:58</t>
  </si>
  <si>
    <t>T030</t>
  </si>
  <si>
    <t>score:47</t>
  </si>
  <si>
    <t>merchant_id</t>
  </si>
  <si>
    <t>account_manager</t>
  </si>
  <si>
    <t>merchant_category</t>
  </si>
  <si>
    <t>default_region</t>
  </si>
  <si>
    <t>M001</t>
  </si>
  <si>
    <t>Aisha Khan</t>
  </si>
  <si>
    <t>Grocery</t>
  </si>
  <si>
    <t>M002</t>
  </si>
  <si>
    <t>Rohan Mehta</t>
  </si>
  <si>
    <t>Electronics</t>
  </si>
  <si>
    <t>M003</t>
  </si>
  <si>
    <t>Elena Rossi</t>
  </si>
  <si>
    <t>Healthcare</t>
  </si>
  <si>
    <t>M004</t>
  </si>
  <si>
    <t>Marcus Lee</t>
  </si>
  <si>
    <t>Travel</t>
  </si>
  <si>
    <t>M005</t>
  </si>
  <si>
    <t>Nina Weber</t>
  </si>
  <si>
    <t>Home</t>
  </si>
  <si>
    <t>rate_date</t>
  </si>
  <si>
    <t>usd_rate</t>
  </si>
  <si>
    <t>merchant_name_helper</t>
  </si>
  <si>
    <t>status_helper</t>
  </si>
  <si>
    <t>gateway_region_helper</t>
  </si>
  <si>
    <t>payment_method_helper</t>
  </si>
  <si>
    <t>risk_score_helper</t>
  </si>
  <si>
    <t>exchange_rate</t>
  </si>
  <si>
    <t>rates</t>
  </si>
  <si>
    <t>exchange_key</t>
  </si>
  <si>
    <t>amount_usd</t>
  </si>
  <si>
    <t>high_value_flag</t>
  </si>
  <si>
    <t>high_risk_flag</t>
  </si>
  <si>
    <t>Row Labels</t>
  </si>
  <si>
    <t>alpha mart</t>
  </si>
  <si>
    <t>beta stores</t>
  </si>
  <si>
    <t>city pharma</t>
  </si>
  <si>
    <t>delta travels</t>
  </si>
  <si>
    <t>eco home</t>
  </si>
  <si>
    <t>(blank)</t>
  </si>
  <si>
    <t>Grand Total</t>
  </si>
  <si>
    <t>Sum of amount_usd</t>
  </si>
  <si>
    <t>Sum of high_value_flag</t>
  </si>
  <si>
    <t>Sum of high_risk_flag</t>
  </si>
  <si>
    <t>status_helper_1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</si>
</sst>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47.903363657409" createdVersion="8" refreshedVersion="8" minRefreshableVersion="3" recordCount="30" xr:uid="{D9AA9770-D6A4-48C4-B35E-EB4D4DB9C66E}">
  <cacheSource type="worksheet">
    <worksheetSource ref="A1:U1048576" sheet="transactions_raw"/>
  </cacheSource>
  <cacheFields count="20">
    <cacheField name="transaction_id" numFmtId="0">
      <sharedItems containsBlank="1"/>
    </cacheField>
    <cacheField name="transaction_date" numFmtId="0">
      <sharedItems containsNonDate="0" containsDate="1" containsString="0" containsBlank="1" minDate="2026-03-01T00:00:00" maxDate="2026-03-07T00:00:00"/>
    </cacheField>
    <cacheField name="merchant_name" numFmtId="0">
      <sharedItems containsBlank="1"/>
    </cacheField>
    <cacheField name="raw_amount" numFmtId="0">
      <sharedItems containsString="0" containsBlank="1" containsNumber="1" containsInteger="1" minValue="1800" maxValue="610000"/>
    </cacheField>
    <cacheField name="currency" numFmtId="0">
      <sharedItems containsBlank="1"/>
    </cacheField>
    <cacheField name="status" numFmtId="0">
      <sharedItems containsBlank="1"/>
    </cacheField>
    <cacheField name="risk_score" numFmtId="0">
      <sharedItems containsBlank="1"/>
    </cacheField>
    <cacheField name="gateway_region" numFmtId="0">
      <sharedItems containsBlank="1"/>
    </cacheField>
    <cacheField name="user_id" numFmtId="0">
      <sharedItems containsBlank="1"/>
    </cacheField>
    <cacheField name="payment_method" numFmtId="0">
      <sharedItems containsBlank="1"/>
    </cacheField>
    <cacheField name="merchant_name_helper" numFmtId="0">
      <sharedItems containsBlank="1" count="6">
        <s v="alpha mart"/>
        <s v="beta stores"/>
        <s v="city pharma"/>
        <s v="eco home"/>
        <s v="delta travels"/>
        <m/>
      </sharedItems>
    </cacheField>
    <cacheField name="status_helper" numFmtId="0">
      <sharedItems containsBlank="1"/>
    </cacheField>
    <cacheField name="gateway_region_helper" numFmtId="0">
      <sharedItems containsBlank="1"/>
    </cacheField>
    <cacheField name="payment_method_helper" numFmtId="0">
      <sharedItems containsBlank="1"/>
    </cacheField>
    <cacheField name="risk_score_helper" numFmtId="0">
      <sharedItems containsString="0" containsBlank="1" containsNumber="1" containsInteger="1" minValue="0" maxValue="75"/>
    </cacheField>
    <cacheField name="exchange_key" numFmtId="0">
      <sharedItems containsBlank="1"/>
    </cacheField>
    <cacheField name="exchange_rate" numFmtId="0">
      <sharedItems containsString="0" containsBlank="1" containsNumber="1" minValue="0" maxValue="1.0900000000000001"/>
    </cacheField>
    <cacheField name="amount_usd" numFmtId="0">
      <sharedItems containsString="0" containsBlank="1" containsNumber="1" minValue="0" maxValue="442800.00000000006"/>
    </cacheField>
    <cacheField name="high_value_flag" numFmtId="0">
      <sharedItems containsString="0" containsBlank="1" containsNumber="1" containsInteger="1" minValue="0" maxValue="1"/>
    </cacheField>
    <cacheField name="high_risk_flag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T001"/>
    <d v="2026-03-01T00:00:00"/>
    <s v=" alpha mart "/>
    <n v="420000"/>
    <s v="INR"/>
    <s v="captured"/>
    <s v="score:62"/>
    <s v="APAC"/>
    <s v="U001"/>
    <s v="UPI"/>
    <x v="0"/>
    <s v="captured"/>
    <s v="APAC"/>
    <s v="UPI"/>
    <n v="0"/>
    <s v="01-03-2026INR"/>
    <n v="1.1900000000000001E-2"/>
    <n v="4998"/>
    <n v="0"/>
    <n v="0"/>
  </r>
  <r>
    <s v="T003"/>
    <d v="2026-03-01T00:00:00"/>
    <s v="BETA STORES "/>
    <n v="510000"/>
    <s v="INR"/>
    <s v=" CAPTURED"/>
    <s v="71"/>
    <s v=" APAC "/>
    <s v="U003"/>
    <s v="NetBanking"/>
    <x v="1"/>
    <s v="captured"/>
    <s v="APAC"/>
    <s v="NetBanking"/>
    <n v="71"/>
    <s v="01-03-2026INR"/>
    <n v="1.2E-2"/>
    <n v="6120"/>
    <n v="1"/>
    <n v="1"/>
  </r>
  <r>
    <s v="T004"/>
    <d v="2026-03-02T00:00:00"/>
    <s v="Beta  Stores"/>
    <n v="160000"/>
    <s v="INR"/>
    <s v=" failed e05 timeout "/>
    <s v="68"/>
    <s v="APAC"/>
    <s v="U004"/>
    <s v="Card"/>
    <x v="1"/>
    <s v="failed e05 timeout"/>
    <s v="APAC"/>
    <s v="Card"/>
    <n v="68"/>
    <s v="02-03-2026INR"/>
    <n v="1.2E-2"/>
    <n v="1920"/>
    <n v="0"/>
    <n v="0"/>
  </r>
  <r>
    <s v="T005"/>
    <d v="2026-03-02T00:00:00"/>
    <s v="Alpha Mart"/>
    <n v="390000"/>
    <s v="INR"/>
    <s v=" CAPTURED"/>
    <s v="58 "/>
    <s v=""/>
    <s v="U001"/>
    <s v="UPI"/>
    <x v="0"/>
    <s v="captured"/>
    <s v=""/>
    <s v="UPI"/>
    <n v="58"/>
    <s v="02-03-2026INR"/>
    <n v="1.2E-2"/>
    <n v="4680"/>
    <n v="0"/>
    <n v="0"/>
  </r>
  <r>
    <s v="T006"/>
    <d v="2026-03-02T00:00:00"/>
    <s v="Beta  Stores"/>
    <n v="275000"/>
    <s v="INR"/>
    <s v="Captured "/>
    <s v="score:64"/>
    <s v=""/>
    <s v="U005"/>
    <s v="Wallet"/>
    <x v="1"/>
    <s v="captured"/>
    <s v=""/>
    <s v="Wallet"/>
    <n v="0"/>
    <s v="02-03-2026INR"/>
    <n v="1.2E-2"/>
    <n v="3300"/>
    <n v="0"/>
    <n v="0"/>
  </r>
  <r>
    <s v="T007"/>
    <d v="2026-03-02T00:00:00"/>
    <s v="Alpha  Mart"/>
    <n v="450000"/>
    <s v="INR"/>
    <s v="chargeback"/>
    <s v="risk-83"/>
    <s v=" APAC "/>
    <s v="U006"/>
    <s v="Card"/>
    <x v="0"/>
    <s v="chargeback"/>
    <s v="APAC"/>
    <s v="Card"/>
    <n v="0"/>
    <s v="02-03-2026INR"/>
    <n v="1.21E-2"/>
    <n v="5445"/>
    <n v="1"/>
    <n v="1"/>
  </r>
  <r>
    <s v="T008"/>
    <d v="2026-03-03T00:00:00"/>
    <s v="BETA STORES "/>
    <n v="340000"/>
    <s v="INR"/>
    <s v="Captured "/>
    <s v="59 "/>
    <s v=""/>
    <s v="U007"/>
    <s v="UPI"/>
    <x v="1"/>
    <s v="captured"/>
    <s v=""/>
    <s v="UPI"/>
    <n v="59"/>
    <s v="03-03-2026INR"/>
    <n v="1.21E-2"/>
    <n v="4114"/>
    <n v="0"/>
    <n v="0"/>
  </r>
  <r>
    <s v="T009"/>
    <d v="2026-03-03T00:00:00"/>
    <s v="Alpha Mart"/>
    <n v="125000"/>
    <s v="INR"/>
    <s v="captured"/>
    <s v="46"/>
    <s v="APAC"/>
    <s v="U002"/>
    <s v="Wallet"/>
    <x v="0"/>
    <s v="captured"/>
    <s v="APAC"/>
    <s v="Wallet"/>
    <n v="46"/>
    <s v="03-03-2026INR"/>
    <n v="1.21E-2"/>
    <n v="1512.5"/>
    <n v="0"/>
    <n v="0"/>
  </r>
  <r>
    <s v="T010"/>
    <d v="2026-03-03T00:00:00"/>
    <s v="Beta Stores"/>
    <n v="610000"/>
    <s v="INR"/>
    <s v="captured"/>
    <s v="risk-77"/>
    <s v=""/>
    <s v="U003"/>
    <s v="Card"/>
    <x v="1"/>
    <s v="captured"/>
    <s v=""/>
    <s v="Card"/>
    <n v="0"/>
    <s v="03-03-2026INR"/>
    <n v="1.21E-2"/>
    <n v="7381"/>
    <n v="0"/>
    <n v="0"/>
  </r>
  <r>
    <s v="T011"/>
    <d v="2026-03-03T00:00:00"/>
    <s v="Alpha  Mart"/>
    <n v="195000"/>
    <s v="INR"/>
    <s v="FAILED e05 TIMEOUT"/>
    <s v=""/>
    <s v=""/>
    <s v="U008"/>
    <s v="UPI"/>
    <x v="0"/>
    <s v="failed e05 timeout"/>
    <s v=""/>
    <s v="UPI"/>
    <n v="0"/>
    <s v="03-03-2026INR"/>
    <n v="1.2E-2"/>
    <n v="2340"/>
    <n v="0"/>
    <n v="0"/>
  </r>
  <r>
    <s v="T012"/>
    <d v="2026-03-04T00:00:00"/>
    <s v="Beta  Stores"/>
    <n v="250000"/>
    <s v="INR"/>
    <s v="Captured "/>
    <s v="risk-61"/>
    <s v=" APAC "/>
    <s v="U009"/>
    <s v="Card"/>
    <x v="1"/>
    <s v="captured"/>
    <s v="APAC"/>
    <s v="Card"/>
    <n v="0"/>
    <s v="04-03-2026INR"/>
    <n v="1.2E-2"/>
    <n v="3000"/>
    <n v="0"/>
    <n v="0"/>
  </r>
  <r>
    <s v="T013"/>
    <d v="2026-03-04T00:00:00"/>
    <s v=" alpha mart "/>
    <n v="310000"/>
    <s v="INR"/>
    <s v="Captured "/>
    <s v="score:54"/>
    <s v="APAC"/>
    <s v="U010"/>
    <s v="UPI"/>
    <x v="0"/>
    <s v="captured"/>
    <s v="APAC"/>
    <s v="UPI"/>
    <n v="0"/>
    <s v="04-03-2026INR"/>
    <n v="1.2E-2"/>
    <n v="3720"/>
    <n v="0"/>
    <n v="0"/>
  </r>
  <r>
    <s v="T014"/>
    <d v="2026-03-04T00:00:00"/>
    <s v="Beta  Stores"/>
    <n v="470000"/>
    <s v="INR"/>
    <s v="Captured "/>
    <s v="risk-73"/>
    <s v="APAC"/>
    <s v="U001"/>
    <s v="NetBanking"/>
    <x v="1"/>
    <s v="captured"/>
    <s v="APAC"/>
    <s v="NetBanking"/>
    <n v="0"/>
    <s v="04-03-2026INR"/>
    <n v="1.2E-2"/>
    <n v="5640"/>
    <n v="1"/>
    <n v="0"/>
  </r>
  <r>
    <s v="T015"/>
    <d v="2026-03-04T00:00:00"/>
    <s v="Alpha Mart"/>
    <n v="130000"/>
    <s v="INR"/>
    <s v="captured"/>
    <s v="score:52"/>
    <s v=""/>
    <s v="U002"/>
    <s v="Card"/>
    <x v="0"/>
    <s v="captured"/>
    <s v=""/>
    <s v="Card"/>
    <n v="0"/>
    <s v="04-03-2026INR"/>
    <n v="1.18E-2"/>
    <n v="1534"/>
    <n v="0"/>
    <n v="0"/>
  </r>
  <r>
    <s v="T016"/>
    <d v="2026-03-05T00:00:00"/>
    <s v="Beta  Stores"/>
    <n v="220000"/>
    <s v="INR"/>
    <s v="FAILED e05 TIMEOUT"/>
    <s v="risk-69"/>
    <s v=""/>
    <s v="U008"/>
    <s v="Card"/>
    <x v="1"/>
    <s v="failed e05 timeout"/>
    <s v=""/>
    <s v="Card"/>
    <n v="0"/>
    <s v="05-03-2026INR"/>
    <n v="1.18E-2"/>
    <n v="2596"/>
    <n v="0"/>
    <n v="0"/>
  </r>
  <r>
    <s v="T017"/>
    <d v="2026-03-05T00:00:00"/>
    <s v="Beta  Stores"/>
    <n v="180000"/>
    <s v="INR"/>
    <s v="FAILED e05 TIMEOUT"/>
    <s v="score:72"/>
    <s v="APAC"/>
    <s v="U008"/>
    <s v="Card"/>
    <x v="1"/>
    <s v="failed e05 timeout"/>
    <s v="APAC"/>
    <s v="Card"/>
    <n v="0"/>
    <s v="05-03-2026INR"/>
    <n v="1.18E-2"/>
    <n v="2124"/>
    <n v="0"/>
    <n v="0"/>
  </r>
  <r>
    <s v="T018"/>
    <d v="2026-03-05T00:00:00"/>
    <s v="BETA STORES "/>
    <n v="145000"/>
    <s v="INR"/>
    <s v=" chargeback "/>
    <s v="risk-86"/>
    <s v=" APAC "/>
    <s v="U008"/>
    <s v="UPI"/>
    <x v="1"/>
    <s v="chargeback"/>
    <s v="APAC"/>
    <s v="UPI"/>
    <n v="0"/>
    <s v="05-03-2026INR"/>
    <n v="1.18E-2"/>
    <n v="1711"/>
    <n v="0"/>
    <n v="1"/>
  </r>
  <r>
    <s v="T019"/>
    <d v="2026-03-05T00:00:00"/>
    <s v="Alpha  Mart"/>
    <n v="260000"/>
    <s v="INR"/>
    <s v="FAILED e05 TIMEOUT"/>
    <s v="score:67"/>
    <s v="APAC"/>
    <s v="U008"/>
    <s v="Wallet"/>
    <x v="0"/>
    <s v="failed e05 timeout"/>
    <s v="APAC"/>
    <s v="Wallet"/>
    <n v="0"/>
    <s v="05-03-2026INR"/>
    <n v="1.18E-2"/>
    <n v="3068"/>
    <n v="0"/>
    <n v="0"/>
  </r>
  <r>
    <s v="T020"/>
    <d v="2026-03-05T00:00:00"/>
    <s v="Alpha Mart"/>
    <n v="520000"/>
    <s v="INR"/>
    <s v="Captured "/>
    <s v="75 "/>
    <s v="APAC"/>
    <s v="U005"/>
    <s v="UPI"/>
    <x v="0"/>
    <s v="captured"/>
    <s v="APAC"/>
    <s v="UPI"/>
    <n v="75"/>
    <s v="05-03-2026INR"/>
    <n v="1.1900000000000001E-2"/>
    <n v="6188"/>
    <n v="1"/>
    <n v="1"/>
  </r>
  <r>
    <s v="T021"/>
    <d v="2026-03-06T00:00:00"/>
    <s v=" beta stores"/>
    <n v="330000"/>
    <s v="INR"/>
    <s v="Captured "/>
    <s v="score:63"/>
    <s v=""/>
    <s v="U006"/>
    <s v="Card"/>
    <x v="1"/>
    <s v="captured"/>
    <s v=""/>
    <s v="Card"/>
    <n v="0"/>
    <s v="06-03-2026INR"/>
    <n v="1.1900000000000001E-2"/>
    <n v="3927.0000000000005"/>
    <n v="0"/>
    <n v="0"/>
  </r>
  <r>
    <s v="T022"/>
    <d v="2026-03-06T00:00:00"/>
    <s v="Alpha Mart"/>
    <n v="410000"/>
    <s v="INR"/>
    <s v="Captured "/>
    <s v="60 "/>
    <s v="APAC"/>
    <s v="U007"/>
    <s v="UPI"/>
    <x v="0"/>
    <s v="captured"/>
    <s v="APAC"/>
    <s v="UPI"/>
    <n v="60"/>
    <s v="06-03-2026INR"/>
    <n v="1.08"/>
    <n v="442800.00000000006"/>
    <n v="1"/>
    <n v="0"/>
  </r>
  <r>
    <s v="T023"/>
    <d v="2026-03-01T00:00:00"/>
    <s v="City Pharma"/>
    <n v="5200"/>
    <s v="EUR"/>
    <s v="Captured "/>
    <s v="42"/>
    <s v=" EU "/>
    <s v="U003"/>
    <s v="Card"/>
    <x v="2"/>
    <s v="captured"/>
    <s v="EU"/>
    <s v="Card"/>
    <n v="42"/>
    <s v="01-03-2026EUR"/>
    <n v="1.0900000000000001"/>
    <n v="5668"/>
    <n v="0"/>
    <n v="0"/>
  </r>
  <r>
    <s v="T024"/>
    <d v="2026-03-02T00:00:00"/>
    <s v="Eco Home"/>
    <n v="6100"/>
    <s v="EUR"/>
    <s v=" chargeback "/>
    <s v="score:65"/>
    <s v="EU"/>
    <s v="U004"/>
    <s v="Card"/>
    <x v="3"/>
    <s v="chargeback"/>
    <s v="EU"/>
    <s v="Card"/>
    <n v="0"/>
    <s v="02-03-2026EUR"/>
    <n v="1.08"/>
    <n v="6588"/>
    <n v="1"/>
    <n v="1"/>
  </r>
  <r>
    <s v="T025"/>
    <d v="2026-03-03T00:00:00"/>
    <s v="City Pharma"/>
    <n v="2800"/>
    <s v="EUR"/>
    <s v="Captured "/>
    <s v="38 "/>
    <s v="EU"/>
    <s v="U005"/>
    <s v="Wallet"/>
    <x v="2"/>
    <s v="captured"/>
    <s v="EU"/>
    <s v="Wallet"/>
    <n v="38"/>
    <s v="03-03-2026EUR"/>
    <n v="1.0900000000000001"/>
    <n v="3052"/>
    <n v="0"/>
    <n v="0"/>
  </r>
  <r>
    <s v="T026"/>
    <d v="2026-03-05T00:00:00"/>
    <s v="Eco Home"/>
    <n v="3300"/>
    <s v="EUR"/>
    <s v="FAILED e05 TIMEOUT"/>
    <s v="44"/>
    <s v=" EU "/>
    <s v="U006"/>
    <s v="NetBanking"/>
    <x v="3"/>
    <s v="failed e05 timeout"/>
    <s v="EU"/>
    <s v="NetBanking"/>
    <n v="44"/>
    <s v="05-03-2026EUR"/>
    <n v="1"/>
    <n v="3300"/>
    <n v="0"/>
    <n v="0"/>
  </r>
  <r>
    <s v="T027"/>
    <d v="2026-03-01T00:00:00"/>
    <s v="DELTA TRAVELS"/>
    <n v="7200"/>
    <s v="USD"/>
    <s v="Captured "/>
    <s v="49 "/>
    <s v="us"/>
    <s v="U007"/>
    <s v="Card"/>
    <x v="4"/>
    <s v="captured"/>
    <s v="US"/>
    <s v="Card"/>
    <n v="49"/>
    <s v="01-03-2026USD"/>
    <n v="1"/>
    <n v="7200"/>
    <n v="1"/>
    <n v="0"/>
  </r>
  <r>
    <s v="T028"/>
    <d v="2026-03-02T00:00:00"/>
    <s v="DELTA TRAVELS"/>
    <n v="3100"/>
    <s v="USD"/>
    <s v=" CAPTURED"/>
    <s v="risk-41"/>
    <s v="us"/>
    <s v="U008"/>
    <s v="Card"/>
    <x v="4"/>
    <s v="captured"/>
    <s v="US"/>
    <s v="Card"/>
    <n v="0"/>
    <s v="02-03-2026USD"/>
    <n v="1"/>
    <n v="3100"/>
    <n v="0"/>
    <n v="0"/>
  </r>
  <r>
    <s v="T029"/>
    <d v="2026-03-04T00:00:00"/>
    <s v="delta travels "/>
    <n v="2500"/>
    <s v="USD"/>
    <s v=" chargeback "/>
    <s v="score:58"/>
    <s v="us"/>
    <s v="U009"/>
    <s v="Wallet"/>
    <x v="4"/>
    <s v="chargeback"/>
    <s v="US"/>
    <s v="Wallet"/>
    <n v="0"/>
    <s v="04-03-2026USD"/>
    <n v="1"/>
    <n v="2500"/>
    <n v="0"/>
    <n v="1"/>
  </r>
  <r>
    <s v="T030"/>
    <d v="2026-03-06T00:00:00"/>
    <s v="DELTA TRAVELS"/>
    <n v="1800"/>
    <s v="USD"/>
    <s v="FAILED e05 TIMEOUT"/>
    <s v="score:47"/>
    <s v="us"/>
    <s v="U010"/>
    <s v="UPI"/>
    <x v="4"/>
    <s v="failed e05 timeout"/>
    <s v="US"/>
    <s v="UPI"/>
    <n v="0"/>
    <s v="06-03-2026USD"/>
    <n v="0"/>
    <n v="0"/>
    <n v="0"/>
    <n v="0"/>
  </r>
  <r>
    <m/>
    <m/>
    <m/>
    <m/>
    <m/>
    <m/>
    <m/>
    <m/>
    <m/>
    <m/>
    <x v="5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5D98F-1C14-46A7-857E-FA3EFFFC887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_usd" fld="17" baseField="0" baseItem="0"/>
    <dataField name="Sum of high_value_flag" fld="18" baseField="0" baseItem="0"/>
    <dataField name="Sum of high_risk_flag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9E786FB-2F81-4499-9C77-2A9410256112}" autoFormatId="16" applyNumberFormats="0" applyBorderFormats="0" applyFontFormats="0" applyPatternFormats="0" applyAlignmentFormats="0" applyWidthHeightFormats="0">
  <queryTableRefresh nextId="27" unboundColumnsRight="11">
    <queryTableFields count="21">
      <queryTableField id="1" name="transaction_id" tableColumnId="1"/>
      <queryTableField id="2" name="transaction_date" tableColumnId="2"/>
      <queryTableField id="3" name="merchant_name" tableColumnId="3"/>
      <queryTableField id="4" name="raw_amount" tableColumnId="4"/>
      <queryTableField id="5" name="currency" tableColumnId="5"/>
      <queryTableField id="6" name="status" tableColumnId="6"/>
      <queryTableField id="7" name="risk_score" tableColumnId="7"/>
      <queryTableField id="8" name="gateway_region" tableColumnId="8"/>
      <queryTableField id="9" name="user_id" tableColumnId="9"/>
      <queryTableField id="10" name="payment_method" tableColumnId="10"/>
      <queryTableField id="13" dataBound="0" tableColumnId="13"/>
      <queryTableField id="14" dataBound="0" tableColumnId="14"/>
      <queryTableField id="26" dataBound="0" tableColumnId="12"/>
      <queryTableField id="15" dataBound="0" tableColumnId="15"/>
      <queryTableField id="16" dataBound="0" tableColumnId="16"/>
      <queryTableField id="18" dataBound="0" tableColumnId="18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56B1B5-FCE6-430E-A175-DFE089F02BD5}" autoFormatId="16" applyNumberFormats="0" applyBorderFormats="0" applyFontFormats="0" applyPatternFormats="0" applyAlignmentFormats="0" applyWidthHeightFormats="0">
  <queryTableRefresh nextId="5">
    <queryTableFields count="2">
      <queryTableField id="1" name="rate_date" tableColumnId="1"/>
      <queryTableField id="2" name="currency" tableColumnId="2"/>
    </queryTableFields>
    <queryTableDeletedFields count="1">
      <deletedField name="usd_r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8789E9-85D9-4771-BB52-81C0465F2E26}" name="transactions_raw" displayName="transactions_raw" ref="A1:U30" tableType="queryTable" totalsRowShown="0">
  <autoFilter ref="A1:U30" xr:uid="{6C8789E9-85D9-4771-BB52-81C0465F2E26}"/>
  <tableColumns count="21">
    <tableColumn id="1" xr3:uid="{9AAB632F-0761-4A45-A8A3-849619C3019A}" uniqueName="1" name="transaction_id" queryTableFieldId="1" dataDxfId="21"/>
    <tableColumn id="2" xr3:uid="{B119A9E7-2605-48B5-BA61-14B36638FF14}" uniqueName="2" name="transaction_date" queryTableFieldId="2" dataDxfId="20"/>
    <tableColumn id="3" xr3:uid="{900898F1-9E26-4D0E-A6E8-ACB3DB8AA0D7}" uniqueName="3" name="merchant_name" queryTableFieldId="3" dataDxfId="19"/>
    <tableColumn id="4" xr3:uid="{053ABA80-83EF-4355-8DFE-62E94C0FF0B2}" uniqueName="4" name="raw_amount" queryTableFieldId="4"/>
    <tableColumn id="5" xr3:uid="{442C1F29-5FF8-4095-81F9-4DAAB41199AE}" uniqueName="5" name="currency" queryTableFieldId="5" dataDxfId="18"/>
    <tableColumn id="6" xr3:uid="{7A40D46E-575F-44D9-85B6-DA3745389130}" uniqueName="6" name="status" queryTableFieldId="6" dataDxfId="17"/>
    <tableColumn id="7" xr3:uid="{00A42FBA-3B5A-4144-A526-7A4EF5D56836}" uniqueName="7" name="risk_score" queryTableFieldId="7" dataDxfId="16"/>
    <tableColumn id="8" xr3:uid="{0B9A101D-9BC1-4D7C-ADE4-A9328FBCCFB9}" uniqueName="8" name="gateway_region" queryTableFieldId="8" dataDxfId="15"/>
    <tableColumn id="9" xr3:uid="{1216426E-A232-4CCE-BF44-CA67AA598B60}" uniqueName="9" name="user_id" queryTableFieldId="9" dataDxfId="14"/>
    <tableColumn id="10" xr3:uid="{30F1BB02-1BC0-4BE1-8F7F-A5C70577ECC7}" uniqueName="10" name="payment_method" queryTableFieldId="10" dataDxfId="13"/>
    <tableColumn id="13" xr3:uid="{EE8A19E2-BFE8-474C-A92F-D83FAC0C9527}" uniqueName="13" name="merchant_name_helper" queryTableFieldId="13" dataDxfId="12">
      <calculatedColumnFormula>LOWER(TRIM(C2))</calculatedColumnFormula>
    </tableColumn>
    <tableColumn id="14" xr3:uid="{B50A2AC3-760A-4268-B7F5-10D4300159F3}" uniqueName="14" name="status_helper" queryTableFieldId="14" dataDxfId="11"/>
    <tableColumn id="12" xr3:uid="{FA789EF7-6A18-4034-ACE4-DBB42C47700C}" uniqueName="12" name="status_helper_1" queryTableFieldId="26" dataDxfId="0">
      <calculatedColumnFormula>IF(L2="captured","completed",
 IF(L2="failed e05 timeout","failed",
 IF(L2="chargeback","chargeback",
 "pending")))</calculatedColumnFormula>
    </tableColumn>
    <tableColumn id="15" xr3:uid="{3BA5CB6B-1092-4F18-A9EF-24DAC39ECC0B}" uniqueName="15" name="gateway_region_helper" queryTableFieldId="15" dataDxfId="10">
      <calculatedColumnFormula>UPPER(TRIM(H2))</calculatedColumnFormula>
    </tableColumn>
    <tableColumn id="16" xr3:uid="{770CC16D-D193-4193-A8D1-7A116DCD8EDC}" uniqueName="16" name="payment_method_helper" queryTableFieldId="16" dataDxfId="9">
      <calculatedColumnFormula>TRIM(J2)</calculatedColumnFormula>
    </tableColumn>
    <tableColumn id="18" xr3:uid="{828EBEC5-B466-44E4-A3F8-D7B2169B7794}" uniqueName="18" name="risk_score_helper" queryTableFieldId="18" dataDxfId="8">
      <calculatedColumnFormula>IFERROR(VALUE(G2),0)</calculatedColumnFormula>
    </tableColumn>
    <tableColumn id="20" xr3:uid="{2A9BC4D0-9948-4270-9154-4963DE8738E4}" uniqueName="20" name="exchange_key" queryTableFieldId="20" dataDxfId="7">
      <calculatedColumnFormula>TEXT(B2,"dd-mm-yyyy") &amp; E2</calculatedColumnFormula>
    </tableColumn>
    <tableColumn id="21" xr3:uid="{5B0D0CE1-5998-4AE1-A9F4-B92734860C08}" uniqueName="21" name="exchange_rate" queryTableFieldId="21" dataDxfId="6">
      <calculatedColumnFormula>_xlfn.XLOOKUP(Q3, exchange_rates!D:D, exchange_rates!C:C)</calculatedColumnFormula>
    </tableColumn>
    <tableColumn id="22" xr3:uid="{939FD567-282B-4CF9-BC51-E9789E7CC3CB}" uniqueName="22" name="amount_usd" queryTableFieldId="22" dataDxfId="5">
      <calculatedColumnFormula>D2 * R2</calculatedColumnFormula>
    </tableColumn>
    <tableColumn id="23" xr3:uid="{7E0EEE9E-B836-4234-971F-9B1ECAF5F495}" uniqueName="23" name="high_value_flag" queryTableFieldId="23" dataDxfId="4">
      <calculatedColumnFormula>IF(AND(N2="APAC", S2&gt;5000),1,
 IF(AND(N2="EU", S2&gt;6000),1,
 IF(AND(N2="US", S2&gt;7000),1,0)))</calculatedColumnFormula>
    </tableColumn>
    <tableColumn id="24" xr3:uid="{FF8E69DB-B9B6-468B-B7F0-3640381CE378}" uniqueName="24" name="high_risk_flag" queryTableFieldId="24" dataDxfId="3">
      <calculatedColumnFormula>IF(OR(P2&gt;=70, ISNUMBER(SEARCH("chargeback", L2))),1,0)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5B342C-35A8-4469-8AF1-C440EE9238B4}" name="exchange_rates" displayName="exchange_rates" ref="A1:B19" tableType="queryTable" totalsRowShown="0">
  <autoFilter ref="A1:B19" xr:uid="{0B5B342C-35A8-4469-8AF1-C440EE9238B4}"/>
  <tableColumns count="2">
    <tableColumn id="1" xr3:uid="{344FF528-D605-4619-9E08-760B31DD22E9}" uniqueName="1" name="rate_date" queryTableFieldId="1" dataDxfId="2"/>
    <tableColumn id="2" xr3:uid="{1F87D4EB-B9A5-44A5-8B2B-F1FC561E966A}" uniqueName="2" name="currency" queryTableFieldId="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925C-982B-4062-9573-CC1944BF3BDD}">
  <dimension ref="A3:D10"/>
  <sheetViews>
    <sheetView workbookViewId="0">
      <selection activeCell="F16" sqref="F16"/>
    </sheetView>
  </sheetViews>
  <sheetFormatPr defaultRowHeight="14.4" x14ac:dyDescent="0.3"/>
  <cols>
    <col min="1" max="1" width="12.5546875" bestFit="1" customWidth="1"/>
    <col min="2" max="2" width="18.33203125" bestFit="1" customWidth="1"/>
    <col min="3" max="3" width="21" bestFit="1" customWidth="1"/>
    <col min="4" max="4" width="19.33203125" bestFit="1" customWidth="1"/>
  </cols>
  <sheetData>
    <row r="3" spans="1:4" x14ac:dyDescent="0.3">
      <c r="A3" s="9" t="s">
        <v>148</v>
      </c>
      <c r="B3" t="s">
        <v>156</v>
      </c>
      <c r="C3" t="s">
        <v>157</v>
      </c>
      <c r="D3" t="s">
        <v>158</v>
      </c>
    </row>
    <row r="4" spans="1:4" x14ac:dyDescent="0.3">
      <c r="A4" s="10" t="s">
        <v>149</v>
      </c>
      <c r="B4">
        <v>476285.50000000006</v>
      </c>
      <c r="C4">
        <v>3</v>
      </c>
      <c r="D4">
        <v>2</v>
      </c>
    </row>
    <row r="5" spans="1:4" x14ac:dyDescent="0.3">
      <c r="A5" s="10" t="s">
        <v>150</v>
      </c>
      <c r="B5">
        <v>41833</v>
      </c>
      <c r="C5">
        <v>2</v>
      </c>
      <c r="D5">
        <v>2</v>
      </c>
    </row>
    <row r="6" spans="1:4" x14ac:dyDescent="0.3">
      <c r="A6" s="10" t="s">
        <v>151</v>
      </c>
      <c r="B6">
        <v>8720</v>
      </c>
      <c r="C6">
        <v>0</v>
      </c>
      <c r="D6">
        <v>0</v>
      </c>
    </row>
    <row r="7" spans="1:4" x14ac:dyDescent="0.3">
      <c r="A7" s="10" t="s">
        <v>152</v>
      </c>
      <c r="B7">
        <v>12800</v>
      </c>
      <c r="C7">
        <v>1</v>
      </c>
      <c r="D7">
        <v>1</v>
      </c>
    </row>
    <row r="8" spans="1:4" x14ac:dyDescent="0.3">
      <c r="A8" s="10" t="s">
        <v>153</v>
      </c>
      <c r="B8">
        <v>9888</v>
      </c>
      <c r="C8">
        <v>1</v>
      </c>
      <c r="D8">
        <v>1</v>
      </c>
    </row>
    <row r="9" spans="1:4" x14ac:dyDescent="0.3">
      <c r="A9" s="10" t="s">
        <v>154</v>
      </c>
    </row>
    <row r="10" spans="1:4" x14ac:dyDescent="0.3">
      <c r="A10" s="10" t="s">
        <v>155</v>
      </c>
      <c r="B10">
        <v>549526.5</v>
      </c>
      <c r="C10">
        <v>7</v>
      </c>
      <c r="D10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9700-A6C8-43D8-A1BF-3227C0D44225}">
  <dimension ref="A1:U30"/>
  <sheetViews>
    <sheetView tabSelected="1" topLeftCell="E1" zoomScale="84" zoomScaleNormal="84" workbookViewId="0">
      <selection activeCell="A31" sqref="A31:XFD31"/>
    </sheetView>
  </sheetViews>
  <sheetFormatPr defaultRowHeight="14.4" x14ac:dyDescent="0.3"/>
  <cols>
    <col min="1" max="1" width="12.88671875" customWidth="1"/>
    <col min="2" max="2" width="17.5546875" bestFit="1" customWidth="1"/>
    <col min="3" max="3" width="17.21875" bestFit="1" customWidth="1"/>
    <col min="4" max="4" width="14" bestFit="1" customWidth="1"/>
    <col min="5" max="5" width="10.5546875" bestFit="1" customWidth="1"/>
    <col min="6" max="6" width="18.6640625" bestFit="1" customWidth="1"/>
    <col min="7" max="7" width="11.5546875" bestFit="1" customWidth="1"/>
    <col min="8" max="8" width="16.77734375" bestFit="1" customWidth="1"/>
    <col min="9" max="9" width="9.33203125" bestFit="1" customWidth="1"/>
    <col min="10" max="10" width="18.5546875" bestFit="1" customWidth="1"/>
    <col min="11" max="11" width="21.109375" customWidth="1"/>
    <col min="12" max="13" width="23.5546875" customWidth="1"/>
    <col min="14" max="14" width="21.88671875" customWidth="1"/>
    <col min="16" max="16" width="20.88671875" customWidth="1"/>
    <col min="17" max="17" width="19" customWidth="1"/>
    <col min="19" max="19" width="17.332031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137</v>
      </c>
      <c r="L1" t="s">
        <v>138</v>
      </c>
      <c r="M1" t="s">
        <v>159</v>
      </c>
      <c r="N1" t="s">
        <v>139</v>
      </c>
      <c r="O1" t="s">
        <v>140</v>
      </c>
      <c r="P1" t="s">
        <v>141</v>
      </c>
      <c r="Q1" t="s">
        <v>144</v>
      </c>
      <c r="R1" t="s">
        <v>142</v>
      </c>
      <c r="S1" t="s">
        <v>145</v>
      </c>
      <c r="T1" t="s">
        <v>146</v>
      </c>
      <c r="U1" t="s">
        <v>147</v>
      </c>
    </row>
    <row r="2" spans="1:21" x14ac:dyDescent="0.3">
      <c r="A2" t="s">
        <v>10</v>
      </c>
      <c r="B2" s="1">
        <v>46082</v>
      </c>
      <c r="C2" t="s">
        <v>11</v>
      </c>
      <c r="D2">
        <v>420000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tr">
        <f t="shared" ref="K2:K30" si="0">LOWER(TRIM(C2))</f>
        <v>alpha mart</v>
      </c>
      <c r="L2" t="s">
        <v>13</v>
      </c>
      <c r="M2" t="str">
        <f t="shared" ref="M2:M30" si="1">IF(L2="captured","completed",
 IF(L2="failed e05 timeout","failed",
 IF(L2="chargeback","chargeback",
 "pending")))</f>
        <v>completed</v>
      </c>
      <c r="N2" t="str">
        <f>UPPER(TRIM(H2))</f>
        <v>APAC</v>
      </c>
      <c r="O2" t="str">
        <f>TRIM(J2)</f>
        <v>UPI</v>
      </c>
      <c r="P2">
        <f>IFERROR(VALUE(G2),0)</f>
        <v>0</v>
      </c>
      <c r="Q2" t="str">
        <f>TEXT(B2,"dd-mm-yyyy") &amp; E2</f>
        <v>01-03-2026INR</v>
      </c>
      <c r="R2">
        <f>_xlfn.XLOOKUP(Q3, exchange_rates!D:D, exchange_rates!C:C)</f>
        <v>1.1900000000000001E-2</v>
      </c>
      <c r="S2">
        <f>D2 * R2</f>
        <v>4998</v>
      </c>
      <c r="T2">
        <f t="shared" ref="T2:T30" si="2">IF(AND(N2="APAC", S2&gt;5000),1,
 IF(AND(N2="EU", S2&gt;6000),1,
 IF(AND(N2="US", S2&gt;7000),1,0)))</f>
        <v>0</v>
      </c>
      <c r="U2">
        <f>IF(OR(P2&gt;=70, ISNUMBER(SEARCH("chargeback", L2))),1,0)</f>
        <v>0</v>
      </c>
    </row>
    <row r="3" spans="1:21" x14ac:dyDescent="0.3">
      <c r="A3" t="s">
        <v>23</v>
      </c>
      <c r="B3" s="1">
        <v>46082</v>
      </c>
      <c r="C3" t="s">
        <v>24</v>
      </c>
      <c r="D3">
        <v>510000</v>
      </c>
      <c r="E3" t="s">
        <v>12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tr">
        <f t="shared" si="0"/>
        <v>beta stores</v>
      </c>
      <c r="L3" t="str">
        <f>LOWER(TRIM(F3))</f>
        <v>captured</v>
      </c>
      <c r="M3" t="str">
        <f t="shared" si="1"/>
        <v>completed</v>
      </c>
      <c r="N3" t="str">
        <f>UPPER(TRIM(H3))</f>
        <v>APAC</v>
      </c>
      <c r="O3" t="str">
        <f>TRIM(J3)</f>
        <v>NetBanking</v>
      </c>
      <c r="P3">
        <f>IFERROR(VALUE(G3),0)</f>
        <v>71</v>
      </c>
      <c r="Q3" t="str">
        <f>TEXT(B3,"dd-mm-yyyy") &amp; E3</f>
        <v>01-03-2026INR</v>
      </c>
      <c r="R3">
        <f>_xlfn.XLOOKUP(Q4, exchange_rates!D:D, exchange_rates!C:C)</f>
        <v>1.2E-2</v>
      </c>
      <c r="S3">
        <f>D3 * R3</f>
        <v>6120</v>
      </c>
      <c r="T3">
        <f t="shared" si="2"/>
        <v>1</v>
      </c>
      <c r="U3">
        <f>IF(OR(P3&gt;=70, ISNUMBER(SEARCH("chargeback", L3))),1,0)</f>
        <v>1</v>
      </c>
    </row>
    <row r="4" spans="1:21" x14ac:dyDescent="0.3">
      <c r="A4" t="s">
        <v>30</v>
      </c>
      <c r="B4" s="1">
        <v>46083</v>
      </c>
      <c r="C4" t="s">
        <v>31</v>
      </c>
      <c r="D4">
        <v>160000</v>
      </c>
      <c r="E4" t="s">
        <v>12</v>
      </c>
      <c r="F4" t="s">
        <v>32</v>
      </c>
      <c r="G4" t="s">
        <v>33</v>
      </c>
      <c r="H4" t="s">
        <v>34</v>
      </c>
      <c r="I4" t="s">
        <v>35</v>
      </c>
      <c r="J4" t="s">
        <v>22</v>
      </c>
      <c r="K4" t="str">
        <f t="shared" si="0"/>
        <v>beta stores</v>
      </c>
      <c r="L4" t="str">
        <f>LOWER(TRIM(F4))</f>
        <v>failed e05 timeout</v>
      </c>
      <c r="M4" t="str">
        <f t="shared" si="1"/>
        <v>failed</v>
      </c>
      <c r="N4" t="str">
        <f>UPPER(TRIM(H4))</f>
        <v>APAC</v>
      </c>
      <c r="O4" t="str">
        <f>TRIM(J4)</f>
        <v>Card</v>
      </c>
      <c r="P4">
        <f>IFERROR(VALUE(G4),0)</f>
        <v>68</v>
      </c>
      <c r="Q4" t="str">
        <f>TEXT(B4,"dd-mm-yyyy") &amp; E4</f>
        <v>02-03-2026INR</v>
      </c>
      <c r="R4">
        <f>_xlfn.XLOOKUP(Q5, exchange_rates!D:D, exchange_rates!C:C)</f>
        <v>1.2E-2</v>
      </c>
      <c r="S4">
        <f>D4 * R4</f>
        <v>1920</v>
      </c>
      <c r="T4">
        <f t="shared" si="2"/>
        <v>0</v>
      </c>
      <c r="U4">
        <f>IF(OR(P4&gt;=70, ISNUMBER(SEARCH("chargeback", L4))),1,0)</f>
        <v>0</v>
      </c>
    </row>
    <row r="5" spans="1:21" x14ac:dyDescent="0.3">
      <c r="A5" t="s">
        <v>36</v>
      </c>
      <c r="B5" s="1">
        <v>46083</v>
      </c>
      <c r="C5" t="s">
        <v>37</v>
      </c>
      <c r="D5">
        <v>390000</v>
      </c>
      <c r="E5" t="s">
        <v>12</v>
      </c>
      <c r="F5" t="s">
        <v>25</v>
      </c>
      <c r="G5" t="s">
        <v>38</v>
      </c>
      <c r="H5" t="s">
        <v>20</v>
      </c>
      <c r="I5" t="s">
        <v>16</v>
      </c>
      <c r="J5" t="s">
        <v>17</v>
      </c>
      <c r="K5" t="str">
        <f t="shared" si="0"/>
        <v>alpha mart</v>
      </c>
      <c r="L5" t="str">
        <f>LOWER(TRIM(F5))</f>
        <v>captured</v>
      </c>
      <c r="M5" t="str">
        <f t="shared" si="1"/>
        <v>completed</v>
      </c>
      <c r="N5" t="str">
        <f>UPPER(TRIM(H5))</f>
        <v/>
      </c>
      <c r="O5" t="str">
        <f>TRIM(J5)</f>
        <v>UPI</v>
      </c>
      <c r="P5">
        <f>IFERROR(VALUE(G5),0)</f>
        <v>58</v>
      </c>
      <c r="Q5" t="str">
        <f>TEXT(B5,"dd-mm-yyyy") &amp; E5</f>
        <v>02-03-2026INR</v>
      </c>
      <c r="R5">
        <f>_xlfn.XLOOKUP(Q6, exchange_rates!D:D, exchange_rates!C:C)</f>
        <v>1.2E-2</v>
      </c>
      <c r="S5">
        <f>D5 * R5</f>
        <v>4680</v>
      </c>
      <c r="T5">
        <f t="shared" si="2"/>
        <v>0</v>
      </c>
      <c r="U5">
        <f>IF(OR(P5&gt;=70, ISNUMBER(SEARCH("chargeback", L5))),1,0)</f>
        <v>0</v>
      </c>
    </row>
    <row r="6" spans="1:21" x14ac:dyDescent="0.3">
      <c r="A6" t="s">
        <v>39</v>
      </c>
      <c r="B6" s="1">
        <v>46083</v>
      </c>
      <c r="C6" t="s">
        <v>31</v>
      </c>
      <c r="D6">
        <v>275000</v>
      </c>
      <c r="E6" t="s">
        <v>12</v>
      </c>
      <c r="F6" t="s">
        <v>19</v>
      </c>
      <c r="G6" t="s">
        <v>40</v>
      </c>
      <c r="H6" t="s">
        <v>20</v>
      </c>
      <c r="I6" t="s">
        <v>41</v>
      </c>
      <c r="J6" t="s">
        <v>42</v>
      </c>
      <c r="K6" t="str">
        <f t="shared" si="0"/>
        <v>beta stores</v>
      </c>
      <c r="L6" t="str">
        <f>LOWER(TRIM(F6))</f>
        <v>captured</v>
      </c>
      <c r="M6" t="str">
        <f t="shared" si="1"/>
        <v>completed</v>
      </c>
      <c r="N6" t="str">
        <f>UPPER(TRIM(H6))</f>
        <v/>
      </c>
      <c r="O6" t="str">
        <f>TRIM(J6)</f>
        <v>Wallet</v>
      </c>
      <c r="P6">
        <f>IFERROR(VALUE(G6),0)</f>
        <v>0</v>
      </c>
      <c r="Q6" t="str">
        <f>TEXT(B6,"dd-mm-yyyy") &amp; E6</f>
        <v>02-03-2026INR</v>
      </c>
      <c r="R6">
        <f>_xlfn.XLOOKUP(Q7, exchange_rates!D:D, exchange_rates!C:C)</f>
        <v>1.2E-2</v>
      </c>
      <c r="S6">
        <f>D6 * R6</f>
        <v>3300</v>
      </c>
      <c r="T6">
        <f t="shared" si="2"/>
        <v>0</v>
      </c>
      <c r="U6">
        <f>IF(OR(P6&gt;=70, ISNUMBER(SEARCH("chargeback", L6))),1,0)</f>
        <v>0</v>
      </c>
    </row>
    <row r="7" spans="1:21" x14ac:dyDescent="0.3">
      <c r="A7" t="s">
        <v>43</v>
      </c>
      <c r="B7" s="1">
        <v>46083</v>
      </c>
      <c r="C7" t="s">
        <v>44</v>
      </c>
      <c r="D7">
        <v>450000</v>
      </c>
      <c r="E7" t="s">
        <v>12</v>
      </c>
      <c r="F7" t="s">
        <v>45</v>
      </c>
      <c r="G7" t="s">
        <v>46</v>
      </c>
      <c r="H7" t="s">
        <v>27</v>
      </c>
      <c r="I7" t="s">
        <v>47</v>
      </c>
      <c r="J7" t="s">
        <v>22</v>
      </c>
      <c r="K7" t="str">
        <f t="shared" si="0"/>
        <v>alpha mart</v>
      </c>
      <c r="L7" t="str">
        <f>LOWER(TRIM(F7))</f>
        <v>chargeback</v>
      </c>
      <c r="M7" t="str">
        <f t="shared" si="1"/>
        <v>chargeback</v>
      </c>
      <c r="N7" t="str">
        <f>UPPER(TRIM(H7))</f>
        <v>APAC</v>
      </c>
      <c r="O7" t="str">
        <f>TRIM(J7)</f>
        <v>Card</v>
      </c>
      <c r="P7">
        <f>IFERROR(VALUE(G7),0)</f>
        <v>0</v>
      </c>
      <c r="Q7" t="str">
        <f>TEXT(B7,"dd-mm-yyyy") &amp; E7</f>
        <v>02-03-2026INR</v>
      </c>
      <c r="R7">
        <f>_xlfn.XLOOKUP(Q8, exchange_rates!D:D, exchange_rates!C:C)</f>
        <v>1.21E-2</v>
      </c>
      <c r="S7">
        <f>D7 * R7</f>
        <v>5445</v>
      </c>
      <c r="T7">
        <f t="shared" si="2"/>
        <v>1</v>
      </c>
      <c r="U7">
        <f>IF(OR(P7&gt;=70, ISNUMBER(SEARCH("chargeback", L7))),1,0)</f>
        <v>1</v>
      </c>
    </row>
    <row r="8" spans="1:21" x14ac:dyDescent="0.3">
      <c r="A8" t="s">
        <v>48</v>
      </c>
      <c r="B8" s="1">
        <v>46084</v>
      </c>
      <c r="C8" t="s">
        <v>24</v>
      </c>
      <c r="D8">
        <v>340000</v>
      </c>
      <c r="E8" t="s">
        <v>12</v>
      </c>
      <c r="F8" t="s">
        <v>19</v>
      </c>
      <c r="G8" t="s">
        <v>49</v>
      </c>
      <c r="H8" t="s">
        <v>20</v>
      </c>
      <c r="I8" t="s">
        <v>50</v>
      </c>
      <c r="J8" t="s">
        <v>17</v>
      </c>
      <c r="K8" t="str">
        <f t="shared" si="0"/>
        <v>beta stores</v>
      </c>
      <c r="L8" t="str">
        <f>LOWER(TRIM(F8))</f>
        <v>captured</v>
      </c>
      <c r="M8" t="str">
        <f t="shared" si="1"/>
        <v>completed</v>
      </c>
      <c r="N8" t="str">
        <f>UPPER(TRIM(H8))</f>
        <v/>
      </c>
      <c r="O8" t="str">
        <f>TRIM(J8)</f>
        <v>UPI</v>
      </c>
      <c r="P8">
        <f>IFERROR(VALUE(G8),0)</f>
        <v>59</v>
      </c>
      <c r="Q8" t="str">
        <f>TEXT(B8,"dd-mm-yyyy") &amp; E8</f>
        <v>03-03-2026INR</v>
      </c>
      <c r="R8">
        <f>_xlfn.XLOOKUP(Q9, exchange_rates!D:D, exchange_rates!C:C)</f>
        <v>1.21E-2</v>
      </c>
      <c r="S8">
        <f>D8 * R8</f>
        <v>4114</v>
      </c>
      <c r="T8">
        <f t="shared" si="2"/>
        <v>0</v>
      </c>
      <c r="U8">
        <f>IF(OR(P8&gt;=70, ISNUMBER(SEARCH("chargeback", L8))),1,0)</f>
        <v>0</v>
      </c>
    </row>
    <row r="9" spans="1:21" x14ac:dyDescent="0.3">
      <c r="A9" t="s">
        <v>51</v>
      </c>
      <c r="B9" s="1">
        <v>46084</v>
      </c>
      <c r="C9" t="s">
        <v>37</v>
      </c>
      <c r="D9">
        <v>125000</v>
      </c>
      <c r="E9" t="s">
        <v>12</v>
      </c>
      <c r="F9" t="s">
        <v>13</v>
      </c>
      <c r="G9" t="s">
        <v>52</v>
      </c>
      <c r="H9" t="s">
        <v>15</v>
      </c>
      <c r="I9" t="s">
        <v>21</v>
      </c>
      <c r="J9" t="s">
        <v>42</v>
      </c>
      <c r="K9" t="str">
        <f t="shared" si="0"/>
        <v>alpha mart</v>
      </c>
      <c r="L9" t="str">
        <f>LOWER(TRIM(F9))</f>
        <v>captured</v>
      </c>
      <c r="M9" t="str">
        <f t="shared" si="1"/>
        <v>completed</v>
      </c>
      <c r="N9" t="str">
        <f>UPPER(TRIM(H9))</f>
        <v>APAC</v>
      </c>
      <c r="O9" t="str">
        <f>TRIM(J9)</f>
        <v>Wallet</v>
      </c>
      <c r="P9">
        <f>IFERROR(VALUE(G9),0)</f>
        <v>46</v>
      </c>
      <c r="Q9" t="str">
        <f>TEXT(B9,"dd-mm-yyyy") &amp; E9</f>
        <v>03-03-2026INR</v>
      </c>
      <c r="R9">
        <f>_xlfn.XLOOKUP(Q10, exchange_rates!D:D, exchange_rates!C:C)</f>
        <v>1.21E-2</v>
      </c>
      <c r="S9">
        <f>D9 * R9</f>
        <v>1512.5</v>
      </c>
      <c r="T9">
        <f t="shared" si="2"/>
        <v>0</v>
      </c>
      <c r="U9">
        <f>IF(OR(P9&gt;=70, ISNUMBER(SEARCH("chargeback", L9))),1,0)</f>
        <v>0</v>
      </c>
    </row>
    <row r="10" spans="1:21" x14ac:dyDescent="0.3">
      <c r="A10" t="s">
        <v>53</v>
      </c>
      <c r="B10" s="1">
        <v>46084</v>
      </c>
      <c r="C10" t="s">
        <v>54</v>
      </c>
      <c r="D10">
        <v>610000</v>
      </c>
      <c r="E10" t="s">
        <v>12</v>
      </c>
      <c r="F10" t="s">
        <v>13</v>
      </c>
      <c r="G10" t="s">
        <v>55</v>
      </c>
      <c r="H10" t="s">
        <v>20</v>
      </c>
      <c r="I10" t="s">
        <v>28</v>
      </c>
      <c r="J10" t="s">
        <v>22</v>
      </c>
      <c r="K10" t="str">
        <f t="shared" si="0"/>
        <v>beta stores</v>
      </c>
      <c r="L10" t="str">
        <f>LOWER(TRIM(F10))</f>
        <v>captured</v>
      </c>
      <c r="M10" t="str">
        <f t="shared" si="1"/>
        <v>completed</v>
      </c>
      <c r="N10" t="str">
        <f>UPPER(TRIM(H10))</f>
        <v/>
      </c>
      <c r="O10" t="str">
        <f>TRIM(J10)</f>
        <v>Card</v>
      </c>
      <c r="P10">
        <f>IFERROR(VALUE(G10),0)</f>
        <v>0</v>
      </c>
      <c r="Q10" t="str">
        <f>TEXT(B10,"dd-mm-yyyy") &amp; E10</f>
        <v>03-03-2026INR</v>
      </c>
      <c r="R10">
        <f>_xlfn.XLOOKUP(Q11, exchange_rates!D:D, exchange_rates!C:C)</f>
        <v>1.21E-2</v>
      </c>
      <c r="S10">
        <f>D10 * R10</f>
        <v>7381</v>
      </c>
      <c r="T10">
        <f t="shared" si="2"/>
        <v>0</v>
      </c>
      <c r="U10">
        <f>IF(OR(P10&gt;=70, ISNUMBER(SEARCH("chargeback", L10))),1,0)</f>
        <v>0</v>
      </c>
    </row>
    <row r="11" spans="1:21" x14ac:dyDescent="0.3">
      <c r="A11" t="s">
        <v>56</v>
      </c>
      <c r="B11" s="1">
        <v>46084</v>
      </c>
      <c r="C11" t="s">
        <v>44</v>
      </c>
      <c r="D11">
        <v>195000</v>
      </c>
      <c r="E11" t="s">
        <v>12</v>
      </c>
      <c r="F11" t="s">
        <v>57</v>
      </c>
      <c r="G11" t="s">
        <v>20</v>
      </c>
      <c r="H11" t="s">
        <v>20</v>
      </c>
      <c r="I11" t="s">
        <v>58</v>
      </c>
      <c r="J11" t="s">
        <v>17</v>
      </c>
      <c r="K11" t="str">
        <f t="shared" si="0"/>
        <v>alpha mart</v>
      </c>
      <c r="L11" t="str">
        <f>LOWER(TRIM(F11))</f>
        <v>failed e05 timeout</v>
      </c>
      <c r="M11" t="str">
        <f t="shared" si="1"/>
        <v>failed</v>
      </c>
      <c r="N11" t="str">
        <f>UPPER(TRIM(H11))</f>
        <v/>
      </c>
      <c r="O11" t="str">
        <f>TRIM(J11)</f>
        <v>UPI</v>
      </c>
      <c r="P11">
        <f>IFERROR(VALUE(G11),0)</f>
        <v>0</v>
      </c>
      <c r="Q11" t="str">
        <f>TEXT(B11,"dd-mm-yyyy") &amp; E11</f>
        <v>03-03-2026INR</v>
      </c>
      <c r="R11">
        <f>_xlfn.XLOOKUP(Q12, exchange_rates!D:D, exchange_rates!C:C)</f>
        <v>1.2E-2</v>
      </c>
      <c r="S11">
        <f>D11 * R11</f>
        <v>2340</v>
      </c>
      <c r="T11">
        <f t="shared" si="2"/>
        <v>0</v>
      </c>
      <c r="U11">
        <f>IF(OR(P11&gt;=70, ISNUMBER(SEARCH("chargeback", L11))),1,0)</f>
        <v>0</v>
      </c>
    </row>
    <row r="12" spans="1:21" x14ac:dyDescent="0.3">
      <c r="A12" t="s">
        <v>59</v>
      </c>
      <c r="B12" s="1">
        <v>46085</v>
      </c>
      <c r="C12" t="s">
        <v>31</v>
      </c>
      <c r="D12">
        <v>250000</v>
      </c>
      <c r="E12" t="s">
        <v>12</v>
      </c>
      <c r="F12" t="s">
        <v>60</v>
      </c>
      <c r="G12" t="s">
        <v>61</v>
      </c>
      <c r="H12" t="s">
        <v>27</v>
      </c>
      <c r="I12" t="s">
        <v>62</v>
      </c>
      <c r="J12" t="s">
        <v>22</v>
      </c>
      <c r="K12" t="str">
        <f t="shared" si="0"/>
        <v>beta stores</v>
      </c>
      <c r="L12" t="str">
        <f>LOWER(TRIM(F12))</f>
        <v>captured</v>
      </c>
      <c r="M12" t="str">
        <f t="shared" si="1"/>
        <v>completed</v>
      </c>
      <c r="N12" t="str">
        <f>UPPER(TRIM(H12))</f>
        <v>APAC</v>
      </c>
      <c r="O12" t="str">
        <f>TRIM(J12)</f>
        <v>Card</v>
      </c>
      <c r="P12">
        <f>IFERROR(VALUE(G12),0)</f>
        <v>0</v>
      </c>
      <c r="Q12" t="str">
        <f>TEXT(B12,"dd-mm-yyyy") &amp; E12</f>
        <v>04-03-2026INR</v>
      </c>
      <c r="R12">
        <f>_xlfn.XLOOKUP(Q13, exchange_rates!D:D, exchange_rates!C:C)</f>
        <v>1.2E-2</v>
      </c>
      <c r="S12">
        <f>D12 * R12</f>
        <v>3000</v>
      </c>
      <c r="T12">
        <f t="shared" si="2"/>
        <v>0</v>
      </c>
      <c r="U12">
        <f>IF(OR(P12&gt;=70, ISNUMBER(SEARCH("chargeback", L12))),1,0)</f>
        <v>0</v>
      </c>
    </row>
    <row r="13" spans="1:21" x14ac:dyDescent="0.3">
      <c r="A13" t="s">
        <v>63</v>
      </c>
      <c r="B13" s="1">
        <v>46085</v>
      </c>
      <c r="C13" t="s">
        <v>11</v>
      </c>
      <c r="D13">
        <v>310000</v>
      </c>
      <c r="E13" t="s">
        <v>12</v>
      </c>
      <c r="F13" t="s">
        <v>60</v>
      </c>
      <c r="G13" t="s">
        <v>64</v>
      </c>
      <c r="H13" t="s">
        <v>15</v>
      </c>
      <c r="I13" t="s">
        <v>65</v>
      </c>
      <c r="J13" t="s">
        <v>17</v>
      </c>
      <c r="K13" t="str">
        <f t="shared" si="0"/>
        <v>alpha mart</v>
      </c>
      <c r="L13" t="str">
        <f>LOWER(TRIM(F13))</f>
        <v>captured</v>
      </c>
      <c r="M13" t="str">
        <f t="shared" si="1"/>
        <v>completed</v>
      </c>
      <c r="N13" t="str">
        <f>UPPER(TRIM(H13))</f>
        <v>APAC</v>
      </c>
      <c r="O13" t="str">
        <f>TRIM(J13)</f>
        <v>UPI</v>
      </c>
      <c r="P13">
        <f>IFERROR(VALUE(G13),0)</f>
        <v>0</v>
      </c>
      <c r="Q13" t="str">
        <f>TEXT(B13,"dd-mm-yyyy") &amp; E13</f>
        <v>04-03-2026INR</v>
      </c>
      <c r="R13">
        <f>_xlfn.XLOOKUP(Q14, exchange_rates!D:D, exchange_rates!C:C)</f>
        <v>1.2E-2</v>
      </c>
      <c r="S13">
        <f>D13 * R13</f>
        <v>3720</v>
      </c>
      <c r="T13">
        <f t="shared" si="2"/>
        <v>0</v>
      </c>
      <c r="U13">
        <f>IF(OR(P13&gt;=70, ISNUMBER(SEARCH("chargeback", L13))),1,0)</f>
        <v>0</v>
      </c>
    </row>
    <row r="14" spans="1:21" x14ac:dyDescent="0.3">
      <c r="A14" t="s">
        <v>66</v>
      </c>
      <c r="B14" s="1">
        <v>46085</v>
      </c>
      <c r="C14" t="s">
        <v>31</v>
      </c>
      <c r="D14">
        <v>470000</v>
      </c>
      <c r="E14" t="s">
        <v>12</v>
      </c>
      <c r="F14" t="s">
        <v>60</v>
      </c>
      <c r="G14" t="s">
        <v>67</v>
      </c>
      <c r="H14" t="s">
        <v>15</v>
      </c>
      <c r="I14" t="s">
        <v>16</v>
      </c>
      <c r="J14" t="s">
        <v>29</v>
      </c>
      <c r="K14" t="str">
        <f t="shared" si="0"/>
        <v>beta stores</v>
      </c>
      <c r="L14" t="str">
        <f>LOWER(TRIM(F14))</f>
        <v>captured</v>
      </c>
      <c r="M14" t="str">
        <f t="shared" si="1"/>
        <v>completed</v>
      </c>
      <c r="N14" t="str">
        <f>UPPER(TRIM(H14))</f>
        <v>APAC</v>
      </c>
      <c r="O14" t="str">
        <f>TRIM(J14)</f>
        <v>NetBanking</v>
      </c>
      <c r="P14">
        <f>IFERROR(VALUE(G14),0)</f>
        <v>0</v>
      </c>
      <c r="Q14" t="str">
        <f>TEXT(B14,"dd-mm-yyyy") &amp; E14</f>
        <v>04-03-2026INR</v>
      </c>
      <c r="R14">
        <f>_xlfn.XLOOKUP(Q15, exchange_rates!D:D, exchange_rates!C:C)</f>
        <v>1.2E-2</v>
      </c>
      <c r="S14">
        <f>D14 * R14</f>
        <v>5640</v>
      </c>
      <c r="T14">
        <f t="shared" si="2"/>
        <v>1</v>
      </c>
      <c r="U14">
        <f>IF(OR(P14&gt;=70, ISNUMBER(SEARCH("chargeback", L14))),1,0)</f>
        <v>0</v>
      </c>
    </row>
    <row r="15" spans="1:21" x14ac:dyDescent="0.3">
      <c r="A15" t="s">
        <v>68</v>
      </c>
      <c r="B15" s="1">
        <v>46085</v>
      </c>
      <c r="C15" t="s">
        <v>37</v>
      </c>
      <c r="D15">
        <v>130000</v>
      </c>
      <c r="E15" t="s">
        <v>12</v>
      </c>
      <c r="F15" t="s">
        <v>13</v>
      </c>
      <c r="G15" t="s">
        <v>69</v>
      </c>
      <c r="H15" t="s">
        <v>20</v>
      </c>
      <c r="I15" t="s">
        <v>21</v>
      </c>
      <c r="J15" t="s">
        <v>22</v>
      </c>
      <c r="K15" t="str">
        <f t="shared" si="0"/>
        <v>alpha mart</v>
      </c>
      <c r="L15" t="str">
        <f>LOWER(TRIM(F15))</f>
        <v>captured</v>
      </c>
      <c r="M15" t="str">
        <f t="shared" si="1"/>
        <v>completed</v>
      </c>
      <c r="N15" t="str">
        <f>UPPER(TRIM(H15))</f>
        <v/>
      </c>
      <c r="O15" t="str">
        <f>TRIM(J15)</f>
        <v>Card</v>
      </c>
      <c r="P15">
        <f>IFERROR(VALUE(G15),0)</f>
        <v>0</v>
      </c>
      <c r="Q15" t="str">
        <f>TEXT(B15,"dd-mm-yyyy") &amp; E15</f>
        <v>04-03-2026INR</v>
      </c>
      <c r="R15">
        <f>_xlfn.XLOOKUP(Q16, exchange_rates!D:D, exchange_rates!C:C)</f>
        <v>1.18E-2</v>
      </c>
      <c r="S15">
        <f>D15 * R15</f>
        <v>1534</v>
      </c>
      <c r="T15">
        <f t="shared" si="2"/>
        <v>0</v>
      </c>
      <c r="U15">
        <f>IF(OR(P15&gt;=70, ISNUMBER(SEARCH("chargeback", L15))),1,0)</f>
        <v>0</v>
      </c>
    </row>
    <row r="16" spans="1:21" x14ac:dyDescent="0.3">
      <c r="A16" t="s">
        <v>70</v>
      </c>
      <c r="B16" s="1">
        <v>46086</v>
      </c>
      <c r="C16" t="s">
        <v>31</v>
      </c>
      <c r="D16">
        <v>220000</v>
      </c>
      <c r="E16" t="s">
        <v>12</v>
      </c>
      <c r="F16" t="s">
        <v>71</v>
      </c>
      <c r="G16" t="s">
        <v>72</v>
      </c>
      <c r="H16" t="s">
        <v>20</v>
      </c>
      <c r="I16" t="s">
        <v>58</v>
      </c>
      <c r="J16" t="s">
        <v>22</v>
      </c>
      <c r="K16" t="str">
        <f t="shared" si="0"/>
        <v>beta stores</v>
      </c>
      <c r="L16" t="str">
        <f>LOWER(TRIM(F16))</f>
        <v>failed e05 timeout</v>
      </c>
      <c r="M16" t="str">
        <f t="shared" si="1"/>
        <v>failed</v>
      </c>
      <c r="N16" t="str">
        <f>UPPER(TRIM(H16))</f>
        <v/>
      </c>
      <c r="O16" t="str">
        <f>TRIM(J16)</f>
        <v>Card</v>
      </c>
      <c r="P16">
        <f>IFERROR(VALUE(G16),0)</f>
        <v>0</v>
      </c>
      <c r="Q16" t="str">
        <f>TEXT(B16,"dd-mm-yyyy") &amp; E16</f>
        <v>05-03-2026INR</v>
      </c>
      <c r="R16">
        <f>_xlfn.XLOOKUP(Q17, exchange_rates!D:D, exchange_rates!C:C)</f>
        <v>1.18E-2</v>
      </c>
      <c r="S16">
        <f>D16 * R16</f>
        <v>2596</v>
      </c>
      <c r="T16">
        <f t="shared" si="2"/>
        <v>0</v>
      </c>
      <c r="U16">
        <f>IF(OR(P16&gt;=70, ISNUMBER(SEARCH("chargeback", L16))),1,0)</f>
        <v>0</v>
      </c>
    </row>
    <row r="17" spans="1:21" x14ac:dyDescent="0.3">
      <c r="A17" t="s">
        <v>73</v>
      </c>
      <c r="B17" s="1">
        <v>46086</v>
      </c>
      <c r="C17" t="s">
        <v>31</v>
      </c>
      <c r="D17">
        <v>180000</v>
      </c>
      <c r="E17" t="s">
        <v>12</v>
      </c>
      <c r="F17" t="s">
        <v>74</v>
      </c>
      <c r="G17" t="s">
        <v>75</v>
      </c>
      <c r="H17" t="s">
        <v>34</v>
      </c>
      <c r="I17" t="s">
        <v>58</v>
      </c>
      <c r="J17" t="s">
        <v>22</v>
      </c>
      <c r="K17" t="str">
        <f t="shared" si="0"/>
        <v>beta stores</v>
      </c>
      <c r="L17" t="str">
        <f>LOWER(TRIM(F17))</f>
        <v>failed e05 timeout</v>
      </c>
      <c r="M17" t="str">
        <f t="shared" si="1"/>
        <v>failed</v>
      </c>
      <c r="N17" t="str">
        <f>UPPER(TRIM(H17))</f>
        <v>APAC</v>
      </c>
      <c r="O17" t="str">
        <f>TRIM(J17)</f>
        <v>Card</v>
      </c>
      <c r="P17">
        <f>IFERROR(VALUE(G17),0)</f>
        <v>0</v>
      </c>
      <c r="Q17" t="str">
        <f>TEXT(B17,"dd-mm-yyyy") &amp; E17</f>
        <v>05-03-2026INR</v>
      </c>
      <c r="R17">
        <f>_xlfn.XLOOKUP(Q18, exchange_rates!D:D, exchange_rates!C:C)</f>
        <v>1.18E-2</v>
      </c>
      <c r="S17">
        <f>D17 * R17</f>
        <v>2124</v>
      </c>
      <c r="T17">
        <f t="shared" si="2"/>
        <v>0</v>
      </c>
      <c r="U17">
        <f>IF(OR(P17&gt;=70, ISNUMBER(SEARCH("chargeback", L17))),1,0)</f>
        <v>0</v>
      </c>
    </row>
    <row r="18" spans="1:21" x14ac:dyDescent="0.3">
      <c r="A18" t="s">
        <v>76</v>
      </c>
      <c r="B18" s="1">
        <v>46086</v>
      </c>
      <c r="C18" t="s">
        <v>24</v>
      </c>
      <c r="D18">
        <v>145000</v>
      </c>
      <c r="E18" t="s">
        <v>12</v>
      </c>
      <c r="F18" t="s">
        <v>77</v>
      </c>
      <c r="G18" t="s">
        <v>78</v>
      </c>
      <c r="H18" t="s">
        <v>27</v>
      </c>
      <c r="I18" t="s">
        <v>58</v>
      </c>
      <c r="J18" t="s">
        <v>17</v>
      </c>
      <c r="K18" t="str">
        <f t="shared" si="0"/>
        <v>beta stores</v>
      </c>
      <c r="L18" t="str">
        <f>LOWER(TRIM(F18))</f>
        <v>chargeback</v>
      </c>
      <c r="M18" t="str">
        <f t="shared" si="1"/>
        <v>chargeback</v>
      </c>
      <c r="N18" t="str">
        <f>UPPER(TRIM(H18))</f>
        <v>APAC</v>
      </c>
      <c r="O18" t="str">
        <f>TRIM(J18)</f>
        <v>UPI</v>
      </c>
      <c r="P18">
        <f>IFERROR(VALUE(G18),0)</f>
        <v>0</v>
      </c>
      <c r="Q18" t="str">
        <f>TEXT(B18,"dd-mm-yyyy") &amp; E18</f>
        <v>05-03-2026INR</v>
      </c>
      <c r="R18">
        <f>_xlfn.XLOOKUP(Q19, exchange_rates!D:D, exchange_rates!C:C)</f>
        <v>1.18E-2</v>
      </c>
      <c r="S18">
        <f>D18 * R18</f>
        <v>1711</v>
      </c>
      <c r="T18">
        <f t="shared" si="2"/>
        <v>0</v>
      </c>
      <c r="U18">
        <f>IF(OR(P18&gt;=70, ISNUMBER(SEARCH("chargeback", L18))),1,0)</f>
        <v>1</v>
      </c>
    </row>
    <row r="19" spans="1:21" x14ac:dyDescent="0.3">
      <c r="A19" t="s">
        <v>79</v>
      </c>
      <c r="B19" s="1">
        <v>46086</v>
      </c>
      <c r="C19" t="s">
        <v>44</v>
      </c>
      <c r="D19">
        <v>260000</v>
      </c>
      <c r="E19" t="s">
        <v>12</v>
      </c>
      <c r="F19" t="s">
        <v>74</v>
      </c>
      <c r="G19" t="s">
        <v>80</v>
      </c>
      <c r="H19" t="s">
        <v>34</v>
      </c>
      <c r="I19" t="s">
        <v>58</v>
      </c>
      <c r="J19" t="s">
        <v>42</v>
      </c>
      <c r="K19" t="str">
        <f t="shared" si="0"/>
        <v>alpha mart</v>
      </c>
      <c r="L19" t="str">
        <f>LOWER(TRIM(F19))</f>
        <v>failed e05 timeout</v>
      </c>
      <c r="M19" t="str">
        <f t="shared" si="1"/>
        <v>failed</v>
      </c>
      <c r="N19" t="str">
        <f>UPPER(TRIM(H19))</f>
        <v>APAC</v>
      </c>
      <c r="O19" t="str">
        <f>TRIM(J19)</f>
        <v>Wallet</v>
      </c>
      <c r="P19">
        <f>IFERROR(VALUE(G19),0)</f>
        <v>0</v>
      </c>
      <c r="Q19" t="str">
        <f>TEXT(B19,"dd-mm-yyyy") &amp; E19</f>
        <v>05-03-2026INR</v>
      </c>
      <c r="R19">
        <f>_xlfn.XLOOKUP(Q20, exchange_rates!D:D, exchange_rates!C:C)</f>
        <v>1.18E-2</v>
      </c>
      <c r="S19">
        <f>D19 * R19</f>
        <v>3068</v>
      </c>
      <c r="T19">
        <f t="shared" si="2"/>
        <v>0</v>
      </c>
      <c r="U19">
        <f>IF(OR(P19&gt;=70, ISNUMBER(SEARCH("chargeback", L19))),1,0)</f>
        <v>0</v>
      </c>
    </row>
    <row r="20" spans="1:21" x14ac:dyDescent="0.3">
      <c r="A20" t="s">
        <v>81</v>
      </c>
      <c r="B20" s="1">
        <v>46086</v>
      </c>
      <c r="C20" t="s">
        <v>37</v>
      </c>
      <c r="D20">
        <v>520000</v>
      </c>
      <c r="E20" t="s">
        <v>12</v>
      </c>
      <c r="F20" t="s">
        <v>19</v>
      </c>
      <c r="G20" t="s">
        <v>82</v>
      </c>
      <c r="H20" t="s">
        <v>15</v>
      </c>
      <c r="I20" t="s">
        <v>41</v>
      </c>
      <c r="J20" t="s">
        <v>17</v>
      </c>
      <c r="K20" t="str">
        <f t="shared" si="0"/>
        <v>alpha mart</v>
      </c>
      <c r="L20" t="str">
        <f>LOWER(TRIM(F20))</f>
        <v>captured</v>
      </c>
      <c r="M20" t="str">
        <f t="shared" si="1"/>
        <v>completed</v>
      </c>
      <c r="N20" t="str">
        <f>UPPER(TRIM(H20))</f>
        <v>APAC</v>
      </c>
      <c r="O20" t="str">
        <f>TRIM(J20)</f>
        <v>UPI</v>
      </c>
      <c r="P20">
        <f>IFERROR(VALUE(G20),0)</f>
        <v>75</v>
      </c>
      <c r="Q20" t="str">
        <f>TEXT(B20,"dd-mm-yyyy") &amp; E20</f>
        <v>05-03-2026INR</v>
      </c>
      <c r="R20">
        <f>_xlfn.XLOOKUP(Q21, exchange_rates!D:D, exchange_rates!C:C)</f>
        <v>1.1900000000000001E-2</v>
      </c>
      <c r="S20">
        <f>D20 * R20</f>
        <v>6188</v>
      </c>
      <c r="T20">
        <f t="shared" si="2"/>
        <v>1</v>
      </c>
      <c r="U20">
        <f>IF(OR(P20&gt;=70, ISNUMBER(SEARCH("chargeback", L20))),1,0)</f>
        <v>1</v>
      </c>
    </row>
    <row r="21" spans="1:21" x14ac:dyDescent="0.3">
      <c r="A21" t="s">
        <v>83</v>
      </c>
      <c r="B21" s="1">
        <v>46087</v>
      </c>
      <c r="C21" t="s">
        <v>84</v>
      </c>
      <c r="D21">
        <v>330000</v>
      </c>
      <c r="E21" t="s">
        <v>12</v>
      </c>
      <c r="F21" t="s">
        <v>60</v>
      </c>
      <c r="G21" t="s">
        <v>85</v>
      </c>
      <c r="H21" t="s">
        <v>20</v>
      </c>
      <c r="I21" t="s">
        <v>47</v>
      </c>
      <c r="J21" t="s">
        <v>22</v>
      </c>
      <c r="K21" t="str">
        <f t="shared" si="0"/>
        <v>beta stores</v>
      </c>
      <c r="L21" t="str">
        <f>LOWER(TRIM(F21))</f>
        <v>captured</v>
      </c>
      <c r="M21" t="str">
        <f t="shared" si="1"/>
        <v>completed</v>
      </c>
      <c r="N21" t="str">
        <f>UPPER(TRIM(H21))</f>
        <v/>
      </c>
      <c r="O21" t="str">
        <f>TRIM(J21)</f>
        <v>Card</v>
      </c>
      <c r="P21">
        <f>IFERROR(VALUE(G21),0)</f>
        <v>0</v>
      </c>
      <c r="Q21" t="str">
        <f>TEXT(B21,"dd-mm-yyyy") &amp; E21</f>
        <v>06-03-2026INR</v>
      </c>
      <c r="R21">
        <f>_xlfn.XLOOKUP(Q22, exchange_rates!D:D, exchange_rates!C:C)</f>
        <v>1.1900000000000001E-2</v>
      </c>
      <c r="S21">
        <f>D21 * R21</f>
        <v>3927.0000000000005</v>
      </c>
      <c r="T21">
        <f t="shared" si="2"/>
        <v>0</v>
      </c>
      <c r="U21">
        <f>IF(OR(P21&gt;=70, ISNUMBER(SEARCH("chargeback", L21))),1,0)</f>
        <v>0</v>
      </c>
    </row>
    <row r="22" spans="1:21" x14ac:dyDescent="0.3">
      <c r="A22" t="s">
        <v>86</v>
      </c>
      <c r="B22" s="1">
        <v>46087</v>
      </c>
      <c r="C22" t="s">
        <v>18</v>
      </c>
      <c r="D22">
        <v>410000</v>
      </c>
      <c r="E22" t="s">
        <v>12</v>
      </c>
      <c r="F22" t="s">
        <v>60</v>
      </c>
      <c r="G22" t="s">
        <v>87</v>
      </c>
      <c r="H22" t="s">
        <v>15</v>
      </c>
      <c r="I22" t="s">
        <v>50</v>
      </c>
      <c r="J22" t="s">
        <v>17</v>
      </c>
      <c r="K22" t="str">
        <f t="shared" si="0"/>
        <v>alpha mart</v>
      </c>
      <c r="L22" t="str">
        <f>LOWER(TRIM(F22))</f>
        <v>captured</v>
      </c>
      <c r="M22" t="str">
        <f t="shared" si="1"/>
        <v>completed</v>
      </c>
      <c r="N22" t="str">
        <f>UPPER(TRIM(H22))</f>
        <v>APAC</v>
      </c>
      <c r="O22" t="str">
        <f>TRIM(J22)</f>
        <v>UPI</v>
      </c>
      <c r="P22">
        <f>IFERROR(VALUE(G22),0)</f>
        <v>60</v>
      </c>
      <c r="Q22" t="str">
        <f>TEXT(B22,"dd-mm-yyyy") &amp; E22</f>
        <v>06-03-2026INR</v>
      </c>
      <c r="R22">
        <f>_xlfn.XLOOKUP(Q23, exchange_rates!D:D, exchange_rates!C:C)</f>
        <v>1.08</v>
      </c>
      <c r="S22">
        <f>D22 * R22</f>
        <v>442800.00000000006</v>
      </c>
      <c r="T22">
        <f t="shared" si="2"/>
        <v>1</v>
      </c>
      <c r="U22">
        <f>IF(OR(P22&gt;=70, ISNUMBER(SEARCH("chargeback", L22))),1,0)</f>
        <v>0</v>
      </c>
    </row>
    <row r="23" spans="1:21" x14ac:dyDescent="0.3">
      <c r="A23" t="s">
        <v>88</v>
      </c>
      <c r="B23" s="1">
        <v>46082</v>
      </c>
      <c r="C23" t="s">
        <v>89</v>
      </c>
      <c r="D23">
        <v>5200</v>
      </c>
      <c r="E23" t="s">
        <v>90</v>
      </c>
      <c r="F23" t="s">
        <v>19</v>
      </c>
      <c r="G23" t="s">
        <v>91</v>
      </c>
      <c r="H23" t="s">
        <v>92</v>
      </c>
      <c r="I23" t="s">
        <v>28</v>
      </c>
      <c r="J23" t="s">
        <v>22</v>
      </c>
      <c r="K23" t="str">
        <f t="shared" si="0"/>
        <v>city pharma</v>
      </c>
      <c r="L23" t="str">
        <f>LOWER(TRIM(F23))</f>
        <v>captured</v>
      </c>
      <c r="M23" t="str">
        <f t="shared" si="1"/>
        <v>completed</v>
      </c>
      <c r="N23" t="str">
        <f>UPPER(TRIM(H23))</f>
        <v>EU</v>
      </c>
      <c r="O23" t="str">
        <f>TRIM(J23)</f>
        <v>Card</v>
      </c>
      <c r="P23">
        <f>IFERROR(VALUE(G23),0)</f>
        <v>42</v>
      </c>
      <c r="Q23" t="str">
        <f>TEXT(B23,"dd-mm-yyyy") &amp; E23</f>
        <v>01-03-2026EUR</v>
      </c>
      <c r="R23">
        <f>_xlfn.XLOOKUP(Q24, exchange_rates!D:D, exchange_rates!C:C)</f>
        <v>1.0900000000000001</v>
      </c>
      <c r="S23">
        <f>D23 * R23</f>
        <v>5668</v>
      </c>
      <c r="T23">
        <f t="shared" si="2"/>
        <v>0</v>
      </c>
      <c r="U23">
        <f>IF(OR(P23&gt;=70, ISNUMBER(SEARCH("chargeback", L23))),1,0)</f>
        <v>0</v>
      </c>
    </row>
    <row r="24" spans="1:21" x14ac:dyDescent="0.3">
      <c r="A24" t="s">
        <v>93</v>
      </c>
      <c r="B24" s="1">
        <v>46083</v>
      </c>
      <c r="C24" t="s">
        <v>94</v>
      </c>
      <c r="D24">
        <v>6100</v>
      </c>
      <c r="E24" t="s">
        <v>90</v>
      </c>
      <c r="F24" t="s">
        <v>77</v>
      </c>
      <c r="G24" t="s">
        <v>95</v>
      </c>
      <c r="H24" t="s">
        <v>96</v>
      </c>
      <c r="I24" t="s">
        <v>35</v>
      </c>
      <c r="J24" t="s">
        <v>22</v>
      </c>
      <c r="K24" t="str">
        <f t="shared" si="0"/>
        <v>eco home</v>
      </c>
      <c r="L24" t="str">
        <f>LOWER(TRIM(F24))</f>
        <v>chargeback</v>
      </c>
      <c r="M24" t="str">
        <f t="shared" si="1"/>
        <v>chargeback</v>
      </c>
      <c r="N24" t="str">
        <f>UPPER(TRIM(H24))</f>
        <v>EU</v>
      </c>
      <c r="O24" t="str">
        <f>TRIM(J24)</f>
        <v>Card</v>
      </c>
      <c r="P24">
        <f>IFERROR(VALUE(G24),0)</f>
        <v>0</v>
      </c>
      <c r="Q24" t="str">
        <f>TEXT(B24,"dd-mm-yyyy") &amp; E24</f>
        <v>02-03-2026EUR</v>
      </c>
      <c r="R24">
        <f>_xlfn.XLOOKUP(Q25, exchange_rates!D:D, exchange_rates!C:C)</f>
        <v>1.08</v>
      </c>
      <c r="S24">
        <f>D24 * R24</f>
        <v>6588</v>
      </c>
      <c r="T24">
        <f t="shared" si="2"/>
        <v>1</v>
      </c>
      <c r="U24">
        <f>IF(OR(P24&gt;=70, ISNUMBER(SEARCH("chargeback", L24))),1,0)</f>
        <v>1</v>
      </c>
    </row>
    <row r="25" spans="1:21" x14ac:dyDescent="0.3">
      <c r="A25" t="s">
        <v>97</v>
      </c>
      <c r="B25" s="1">
        <v>46084</v>
      </c>
      <c r="C25" t="s">
        <v>89</v>
      </c>
      <c r="D25">
        <v>2800</v>
      </c>
      <c r="E25" t="s">
        <v>90</v>
      </c>
      <c r="F25" t="s">
        <v>60</v>
      </c>
      <c r="G25" t="s">
        <v>98</v>
      </c>
      <c r="H25" t="s">
        <v>99</v>
      </c>
      <c r="I25" t="s">
        <v>41</v>
      </c>
      <c r="J25" t="s">
        <v>42</v>
      </c>
      <c r="K25" t="str">
        <f t="shared" si="0"/>
        <v>city pharma</v>
      </c>
      <c r="L25" t="str">
        <f>LOWER(TRIM(F25))</f>
        <v>captured</v>
      </c>
      <c r="M25" t="str">
        <f t="shared" si="1"/>
        <v>completed</v>
      </c>
      <c r="N25" t="str">
        <f>UPPER(TRIM(H25))</f>
        <v>EU</v>
      </c>
      <c r="O25" t="str">
        <f>TRIM(J25)</f>
        <v>Wallet</v>
      </c>
      <c r="P25">
        <f>IFERROR(VALUE(G25),0)</f>
        <v>38</v>
      </c>
      <c r="Q25" t="str">
        <f>TEXT(B25,"dd-mm-yyyy") &amp; E25</f>
        <v>03-03-2026EUR</v>
      </c>
      <c r="R25">
        <f>_xlfn.XLOOKUP(Q26, exchange_rates!D:D, exchange_rates!C:C)</f>
        <v>1.0900000000000001</v>
      </c>
      <c r="S25">
        <f>D25 * R25</f>
        <v>3052</v>
      </c>
      <c r="T25">
        <f t="shared" si="2"/>
        <v>0</v>
      </c>
      <c r="U25">
        <f>IF(OR(P25&gt;=70, ISNUMBER(SEARCH("chargeback", L25))),1,0)</f>
        <v>0</v>
      </c>
    </row>
    <row r="26" spans="1:21" x14ac:dyDescent="0.3">
      <c r="A26" t="s">
        <v>100</v>
      </c>
      <c r="B26" s="1">
        <v>46086</v>
      </c>
      <c r="C26" t="s">
        <v>94</v>
      </c>
      <c r="D26">
        <v>3300</v>
      </c>
      <c r="E26" t="s">
        <v>90</v>
      </c>
      <c r="F26" t="s">
        <v>74</v>
      </c>
      <c r="G26" t="s">
        <v>101</v>
      </c>
      <c r="H26" t="s">
        <v>92</v>
      </c>
      <c r="I26" t="s">
        <v>47</v>
      </c>
      <c r="J26" t="s">
        <v>29</v>
      </c>
      <c r="K26" t="str">
        <f t="shared" si="0"/>
        <v>eco home</v>
      </c>
      <c r="L26" t="str">
        <f>LOWER(TRIM(F26))</f>
        <v>failed e05 timeout</v>
      </c>
      <c r="M26" t="str">
        <f t="shared" si="1"/>
        <v>failed</v>
      </c>
      <c r="N26" t="str">
        <f>UPPER(TRIM(H26))</f>
        <v>EU</v>
      </c>
      <c r="O26" t="str">
        <f>TRIM(J26)</f>
        <v>NetBanking</v>
      </c>
      <c r="P26">
        <f>IFERROR(VALUE(G26),0)</f>
        <v>44</v>
      </c>
      <c r="Q26" t="str">
        <f>TEXT(B26,"dd-mm-yyyy") &amp; E26</f>
        <v>05-03-2026EUR</v>
      </c>
      <c r="R26">
        <f>_xlfn.XLOOKUP(Q27, exchange_rates!D:D, exchange_rates!C:C)</f>
        <v>1</v>
      </c>
      <c r="S26">
        <f>D26 * R26</f>
        <v>3300</v>
      </c>
      <c r="T26">
        <f t="shared" si="2"/>
        <v>0</v>
      </c>
      <c r="U26">
        <f>IF(OR(P26&gt;=70, ISNUMBER(SEARCH("chargeback", L26))),1,0)</f>
        <v>0</v>
      </c>
    </row>
    <row r="27" spans="1:21" x14ac:dyDescent="0.3">
      <c r="A27" t="s">
        <v>102</v>
      </c>
      <c r="B27" s="1">
        <v>46082</v>
      </c>
      <c r="C27" t="s">
        <v>103</v>
      </c>
      <c r="D27">
        <v>7200</v>
      </c>
      <c r="E27" t="s">
        <v>104</v>
      </c>
      <c r="F27" t="s">
        <v>60</v>
      </c>
      <c r="G27" t="s">
        <v>105</v>
      </c>
      <c r="H27" t="s">
        <v>106</v>
      </c>
      <c r="I27" t="s">
        <v>50</v>
      </c>
      <c r="J27" t="s">
        <v>22</v>
      </c>
      <c r="K27" t="str">
        <f t="shared" si="0"/>
        <v>delta travels</v>
      </c>
      <c r="L27" t="str">
        <f>LOWER(TRIM(F27))</f>
        <v>captured</v>
      </c>
      <c r="M27" t="str">
        <f t="shared" si="1"/>
        <v>completed</v>
      </c>
      <c r="N27" t="str">
        <f>UPPER(TRIM(H27))</f>
        <v>US</v>
      </c>
      <c r="O27" t="str">
        <f>TRIM(J27)</f>
        <v>Card</v>
      </c>
      <c r="P27">
        <f>IFERROR(VALUE(G27),0)</f>
        <v>49</v>
      </c>
      <c r="Q27" t="str">
        <f>TEXT(B27,"dd-mm-yyyy") &amp; E27</f>
        <v>01-03-2026USD</v>
      </c>
      <c r="R27">
        <f>_xlfn.XLOOKUP(Q28, exchange_rates!D:D, exchange_rates!C:C)</f>
        <v>1</v>
      </c>
      <c r="S27">
        <f>D27 * R27</f>
        <v>7200</v>
      </c>
      <c r="T27">
        <f t="shared" si="2"/>
        <v>1</v>
      </c>
      <c r="U27">
        <f>IF(OR(P27&gt;=70, ISNUMBER(SEARCH("chargeback", L27))),1,0)</f>
        <v>0</v>
      </c>
    </row>
    <row r="28" spans="1:21" x14ac:dyDescent="0.3">
      <c r="A28" t="s">
        <v>107</v>
      </c>
      <c r="B28" s="1">
        <v>46083</v>
      </c>
      <c r="C28" t="s">
        <v>108</v>
      </c>
      <c r="D28">
        <v>3100</v>
      </c>
      <c r="E28" t="s">
        <v>104</v>
      </c>
      <c r="F28" t="s">
        <v>25</v>
      </c>
      <c r="G28" t="s">
        <v>109</v>
      </c>
      <c r="H28" t="s">
        <v>110</v>
      </c>
      <c r="I28" t="s">
        <v>58</v>
      </c>
      <c r="J28" t="s">
        <v>22</v>
      </c>
      <c r="K28" t="str">
        <f t="shared" si="0"/>
        <v>delta travels</v>
      </c>
      <c r="L28" t="str">
        <f>LOWER(TRIM(F28))</f>
        <v>captured</v>
      </c>
      <c r="M28" t="str">
        <f t="shared" si="1"/>
        <v>completed</v>
      </c>
      <c r="N28" t="str">
        <f>UPPER(TRIM(H28))</f>
        <v>US</v>
      </c>
      <c r="O28" t="str">
        <f>TRIM(J28)</f>
        <v>Card</v>
      </c>
      <c r="P28">
        <f>IFERROR(VALUE(G28),0)</f>
        <v>0</v>
      </c>
      <c r="Q28" t="str">
        <f>TEXT(B28,"dd-mm-yyyy") &amp; E28</f>
        <v>02-03-2026USD</v>
      </c>
      <c r="R28">
        <f>_xlfn.XLOOKUP(Q29, exchange_rates!D:D, exchange_rates!C:C)</f>
        <v>1</v>
      </c>
      <c r="S28">
        <f>D28 * R28</f>
        <v>3100</v>
      </c>
      <c r="T28">
        <f t="shared" si="2"/>
        <v>0</v>
      </c>
      <c r="U28">
        <f>IF(OR(P28&gt;=70, ISNUMBER(SEARCH("chargeback", L28))),1,0)</f>
        <v>0</v>
      </c>
    </row>
    <row r="29" spans="1:21" x14ac:dyDescent="0.3">
      <c r="A29" t="s">
        <v>111</v>
      </c>
      <c r="B29" s="1">
        <v>46085</v>
      </c>
      <c r="C29" t="s">
        <v>112</v>
      </c>
      <c r="D29">
        <v>2500</v>
      </c>
      <c r="E29" t="s">
        <v>104</v>
      </c>
      <c r="F29" t="s">
        <v>77</v>
      </c>
      <c r="G29" t="s">
        <v>113</v>
      </c>
      <c r="H29" t="s">
        <v>110</v>
      </c>
      <c r="I29" t="s">
        <v>62</v>
      </c>
      <c r="J29" t="s">
        <v>42</v>
      </c>
      <c r="K29" t="str">
        <f t="shared" si="0"/>
        <v>delta travels</v>
      </c>
      <c r="L29" t="str">
        <f>LOWER(TRIM(F29))</f>
        <v>chargeback</v>
      </c>
      <c r="M29" t="str">
        <f t="shared" si="1"/>
        <v>chargeback</v>
      </c>
      <c r="N29" t="str">
        <f>UPPER(TRIM(H29))</f>
        <v>US</v>
      </c>
      <c r="O29" t="str">
        <f>TRIM(J29)</f>
        <v>Wallet</v>
      </c>
      <c r="P29">
        <f>IFERROR(VALUE(G29),0)</f>
        <v>0</v>
      </c>
      <c r="Q29" t="str">
        <f>TEXT(B29,"dd-mm-yyyy") &amp; E29</f>
        <v>04-03-2026USD</v>
      </c>
      <c r="R29">
        <f>_xlfn.XLOOKUP(Q30, exchange_rates!D:D, exchange_rates!C:C)</f>
        <v>1</v>
      </c>
      <c r="S29">
        <f>D29 * R29</f>
        <v>2500</v>
      </c>
      <c r="T29">
        <f t="shared" si="2"/>
        <v>0</v>
      </c>
      <c r="U29">
        <f>IF(OR(P29&gt;=70, ISNUMBER(SEARCH("chargeback", L29))),1,0)</f>
        <v>1</v>
      </c>
    </row>
    <row r="30" spans="1:21" x14ac:dyDescent="0.3">
      <c r="A30" t="s">
        <v>114</v>
      </c>
      <c r="B30" s="1">
        <v>46087</v>
      </c>
      <c r="C30" t="s">
        <v>103</v>
      </c>
      <c r="D30">
        <v>1800</v>
      </c>
      <c r="E30" t="s">
        <v>104</v>
      </c>
      <c r="F30" t="s">
        <v>74</v>
      </c>
      <c r="G30" t="s">
        <v>115</v>
      </c>
      <c r="H30" t="s">
        <v>110</v>
      </c>
      <c r="I30" t="s">
        <v>65</v>
      </c>
      <c r="J30" t="s">
        <v>17</v>
      </c>
      <c r="K30" t="str">
        <f t="shared" si="0"/>
        <v>delta travels</v>
      </c>
      <c r="L30" t="str">
        <f>LOWER(TRIM(F30))</f>
        <v>failed e05 timeout</v>
      </c>
      <c r="M30" t="str">
        <f t="shared" si="1"/>
        <v>failed</v>
      </c>
      <c r="N30" t="str">
        <f>UPPER(TRIM(H30))</f>
        <v>US</v>
      </c>
      <c r="O30" t="str">
        <f>TRIM(J30)</f>
        <v>UPI</v>
      </c>
      <c r="P30">
        <f>IFERROR(VALUE(G30),0)</f>
        <v>0</v>
      </c>
      <c r="Q30" t="str">
        <f>TEXT(B30,"dd-mm-yyyy") &amp; E30</f>
        <v>06-03-2026USD</v>
      </c>
      <c r="R30">
        <f>_xlfn.XLOOKUP(Q31, exchange_rates!D:D, exchange_rates!C:C)</f>
        <v>0</v>
      </c>
      <c r="S30">
        <f>D30 * R30</f>
        <v>0</v>
      </c>
      <c r="T30">
        <f t="shared" si="2"/>
        <v>0</v>
      </c>
      <c r="U30">
        <f>IF(OR(P30&gt;=70, ISNUMBER(SEARCH("chargeback", L30))),1,0)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1554-A4C8-4910-A7EE-B90CADF5C428}">
  <dimension ref="A1:F6"/>
  <sheetViews>
    <sheetView workbookViewId="0">
      <selection activeCell="G3" sqref="G3"/>
    </sheetView>
  </sheetViews>
  <sheetFormatPr defaultRowHeight="14.4" x14ac:dyDescent="0.3"/>
  <cols>
    <col min="2" max="2" width="20.77734375" customWidth="1"/>
    <col min="3" max="3" width="17.88671875" customWidth="1"/>
    <col min="5" max="5" width="25.77734375" customWidth="1"/>
    <col min="6" max="6" width="19.77734375" customWidth="1"/>
  </cols>
  <sheetData>
    <row r="1" spans="1:6" x14ac:dyDescent="0.3">
      <c r="A1" s="5" t="s">
        <v>116</v>
      </c>
      <c r="B1" s="6" t="s">
        <v>2</v>
      </c>
      <c r="C1" s="6" t="s">
        <v>117</v>
      </c>
      <c r="D1" s="6" t="s">
        <v>118</v>
      </c>
      <c r="E1" s="7" t="s">
        <v>119</v>
      </c>
      <c r="F1" s="8" t="s">
        <v>137</v>
      </c>
    </row>
    <row r="2" spans="1:6" x14ac:dyDescent="0.3">
      <c r="A2" s="2" t="s">
        <v>120</v>
      </c>
      <c r="B2" s="3" t="s">
        <v>37</v>
      </c>
      <c r="C2" s="3" t="s">
        <v>121</v>
      </c>
      <c r="D2" s="3" t="s">
        <v>122</v>
      </c>
      <c r="E2" s="4" t="s">
        <v>15</v>
      </c>
      <c r="F2" t="str">
        <f>LOWER(TRIM(B2))</f>
        <v>alpha mart</v>
      </c>
    </row>
    <row r="3" spans="1:6" x14ac:dyDescent="0.3">
      <c r="A3" s="5" t="s">
        <v>123</v>
      </c>
      <c r="B3" s="6" t="s">
        <v>54</v>
      </c>
      <c r="C3" s="6" t="s">
        <v>124</v>
      </c>
      <c r="D3" s="6" t="s">
        <v>125</v>
      </c>
      <c r="E3" s="7" t="s">
        <v>15</v>
      </c>
      <c r="F3" t="str">
        <f t="shared" ref="F3:F6" si="0">LOWER(TRIM(B3))</f>
        <v>beta stores</v>
      </c>
    </row>
    <row r="4" spans="1:6" x14ac:dyDescent="0.3">
      <c r="A4" s="2" t="s">
        <v>126</v>
      </c>
      <c r="B4" s="3" t="s">
        <v>89</v>
      </c>
      <c r="C4" s="3" t="s">
        <v>127</v>
      </c>
      <c r="D4" s="3" t="s">
        <v>128</v>
      </c>
      <c r="E4" s="4" t="s">
        <v>96</v>
      </c>
      <c r="F4" t="str">
        <f t="shared" si="0"/>
        <v>city pharma</v>
      </c>
    </row>
    <row r="5" spans="1:6" x14ac:dyDescent="0.3">
      <c r="A5" s="5" t="s">
        <v>129</v>
      </c>
      <c r="B5" s="6" t="s">
        <v>108</v>
      </c>
      <c r="C5" s="6" t="s">
        <v>130</v>
      </c>
      <c r="D5" s="6" t="s">
        <v>131</v>
      </c>
      <c r="E5" s="7" t="s">
        <v>110</v>
      </c>
      <c r="F5" t="str">
        <f t="shared" si="0"/>
        <v>delta travels</v>
      </c>
    </row>
    <row r="6" spans="1:6" x14ac:dyDescent="0.3">
      <c r="A6" s="2" t="s">
        <v>132</v>
      </c>
      <c r="B6" s="3" t="s">
        <v>94</v>
      </c>
      <c r="C6" s="3" t="s">
        <v>133</v>
      </c>
      <c r="D6" s="3" t="s">
        <v>134</v>
      </c>
      <c r="E6" s="4" t="s">
        <v>96</v>
      </c>
      <c r="F6" t="str">
        <f t="shared" si="0"/>
        <v>eco home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CB76-13FC-4C6D-ADA9-93A4D2D07DD0}">
  <dimension ref="A1:D19"/>
  <sheetViews>
    <sheetView workbookViewId="0">
      <selection activeCell="E11" sqref="E11"/>
    </sheetView>
  </sheetViews>
  <sheetFormatPr defaultRowHeight="14.4" x14ac:dyDescent="0.3"/>
  <cols>
    <col min="1" max="1" width="11.33203125" bestFit="1" customWidth="1"/>
    <col min="2" max="3" width="10.5546875" bestFit="1" customWidth="1"/>
    <col min="4" max="4" width="28.88671875" customWidth="1"/>
  </cols>
  <sheetData>
    <row r="1" spans="1:4" x14ac:dyDescent="0.3">
      <c r="A1" t="s">
        <v>135</v>
      </c>
      <c r="B1" t="s">
        <v>4</v>
      </c>
      <c r="C1" t="s">
        <v>136</v>
      </c>
      <c r="D1" t="s">
        <v>143</v>
      </c>
    </row>
    <row r="2" spans="1:4" x14ac:dyDescent="0.3">
      <c r="A2" s="1">
        <v>46082</v>
      </c>
      <c r="B2" t="s">
        <v>12</v>
      </c>
      <c r="C2">
        <v>1.1900000000000001E-2</v>
      </c>
      <c r="D2" t="str">
        <f t="shared" ref="D2:D19" si="0">TEXT(A2,"dd-mm-yyyy") &amp; B2</f>
        <v>01-03-2026INR</v>
      </c>
    </row>
    <row r="3" spans="1:4" x14ac:dyDescent="0.3">
      <c r="A3" s="1">
        <v>46082</v>
      </c>
      <c r="B3" t="s">
        <v>90</v>
      </c>
      <c r="C3">
        <v>1.08</v>
      </c>
      <c r="D3" t="str">
        <f t="shared" si="0"/>
        <v>01-03-2026EUR</v>
      </c>
    </row>
    <row r="4" spans="1:4" x14ac:dyDescent="0.3">
      <c r="A4" s="1">
        <v>46082</v>
      </c>
      <c r="B4" t="s">
        <v>104</v>
      </c>
      <c r="C4">
        <v>1</v>
      </c>
      <c r="D4" t="str">
        <f t="shared" si="0"/>
        <v>01-03-2026USD</v>
      </c>
    </row>
    <row r="5" spans="1:4" x14ac:dyDescent="0.3">
      <c r="A5" s="1">
        <v>46083</v>
      </c>
      <c r="B5" t="s">
        <v>12</v>
      </c>
      <c r="C5">
        <v>1.2E-2</v>
      </c>
      <c r="D5" t="str">
        <f t="shared" si="0"/>
        <v>02-03-2026INR</v>
      </c>
    </row>
    <row r="6" spans="1:4" x14ac:dyDescent="0.3">
      <c r="A6" s="1">
        <v>46083</v>
      </c>
      <c r="B6" t="s">
        <v>90</v>
      </c>
      <c r="C6">
        <v>1.0900000000000001</v>
      </c>
      <c r="D6" t="str">
        <f t="shared" si="0"/>
        <v>02-03-2026EUR</v>
      </c>
    </row>
    <row r="7" spans="1:4" x14ac:dyDescent="0.3">
      <c r="A7" s="1">
        <v>46083</v>
      </c>
      <c r="B7" t="s">
        <v>104</v>
      </c>
      <c r="C7">
        <v>1</v>
      </c>
      <c r="D7" t="str">
        <f t="shared" si="0"/>
        <v>02-03-2026USD</v>
      </c>
    </row>
    <row r="8" spans="1:4" x14ac:dyDescent="0.3">
      <c r="A8" s="1">
        <v>46084</v>
      </c>
      <c r="B8" t="s">
        <v>12</v>
      </c>
      <c r="C8">
        <v>1.21E-2</v>
      </c>
      <c r="D8" t="str">
        <f t="shared" si="0"/>
        <v>03-03-2026INR</v>
      </c>
    </row>
    <row r="9" spans="1:4" x14ac:dyDescent="0.3">
      <c r="A9" s="1">
        <v>46084</v>
      </c>
      <c r="B9" t="s">
        <v>90</v>
      </c>
      <c r="C9">
        <v>1.08</v>
      </c>
      <c r="D9" t="str">
        <f t="shared" si="0"/>
        <v>03-03-2026EUR</v>
      </c>
    </row>
    <row r="10" spans="1:4" x14ac:dyDescent="0.3">
      <c r="A10" s="1">
        <v>46084</v>
      </c>
      <c r="B10" t="s">
        <v>104</v>
      </c>
      <c r="C10">
        <v>1</v>
      </c>
      <c r="D10" t="str">
        <f t="shared" si="0"/>
        <v>03-03-2026USD</v>
      </c>
    </row>
    <row r="11" spans="1:4" x14ac:dyDescent="0.3">
      <c r="A11" s="1">
        <v>46085</v>
      </c>
      <c r="B11" t="s">
        <v>12</v>
      </c>
      <c r="C11">
        <v>1.2E-2</v>
      </c>
      <c r="D11" t="str">
        <f t="shared" si="0"/>
        <v>04-03-2026INR</v>
      </c>
    </row>
    <row r="12" spans="1:4" x14ac:dyDescent="0.3">
      <c r="A12" s="1">
        <v>46085</v>
      </c>
      <c r="B12" t="s">
        <v>90</v>
      </c>
      <c r="C12">
        <v>1.07</v>
      </c>
      <c r="D12" t="str">
        <f t="shared" si="0"/>
        <v>04-03-2026EUR</v>
      </c>
    </row>
    <row r="13" spans="1:4" x14ac:dyDescent="0.3">
      <c r="A13" s="1">
        <v>46085</v>
      </c>
      <c r="B13" t="s">
        <v>104</v>
      </c>
      <c r="C13">
        <v>1</v>
      </c>
      <c r="D13" t="str">
        <f t="shared" si="0"/>
        <v>04-03-2026USD</v>
      </c>
    </row>
    <row r="14" spans="1:4" x14ac:dyDescent="0.3">
      <c r="A14" s="1">
        <v>46086</v>
      </c>
      <c r="B14" t="s">
        <v>12</v>
      </c>
      <c r="C14">
        <v>1.18E-2</v>
      </c>
      <c r="D14" t="str">
        <f t="shared" si="0"/>
        <v>05-03-2026INR</v>
      </c>
    </row>
    <row r="15" spans="1:4" x14ac:dyDescent="0.3">
      <c r="A15" s="1">
        <v>46086</v>
      </c>
      <c r="B15" t="s">
        <v>90</v>
      </c>
      <c r="C15">
        <v>1.0900000000000001</v>
      </c>
      <c r="D15" t="str">
        <f t="shared" si="0"/>
        <v>05-03-2026EUR</v>
      </c>
    </row>
    <row r="16" spans="1:4" x14ac:dyDescent="0.3">
      <c r="A16" s="1">
        <v>46086</v>
      </c>
      <c r="B16" t="s">
        <v>104</v>
      </c>
      <c r="C16">
        <v>1</v>
      </c>
      <c r="D16" t="str">
        <f t="shared" si="0"/>
        <v>05-03-2026USD</v>
      </c>
    </row>
    <row r="17" spans="1:4" x14ac:dyDescent="0.3">
      <c r="A17" s="1">
        <v>46087</v>
      </c>
      <c r="B17" t="s">
        <v>12</v>
      </c>
      <c r="C17">
        <v>1.1900000000000001E-2</v>
      </c>
      <c r="D17" t="str">
        <f t="shared" si="0"/>
        <v>06-03-2026INR</v>
      </c>
    </row>
    <row r="18" spans="1:4" x14ac:dyDescent="0.3">
      <c r="A18" s="1">
        <v>46087</v>
      </c>
      <c r="B18" t="s">
        <v>90</v>
      </c>
      <c r="C18">
        <v>1.08</v>
      </c>
      <c r="D18" t="str">
        <f t="shared" si="0"/>
        <v>06-03-2026EUR</v>
      </c>
    </row>
    <row r="19" spans="1:4" x14ac:dyDescent="0.3">
      <c r="A19" s="1">
        <v>46087</v>
      </c>
      <c r="B19" t="s">
        <v>104</v>
      </c>
      <c r="C19">
        <v>1</v>
      </c>
      <c r="D19" t="str">
        <f t="shared" si="0"/>
        <v>06-03-2026USD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34E165-E11E-4ECF-A053-F62F0A52D8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merchant_risk_summary</vt:lpstr>
      <vt:lpstr>transactions_raw</vt:lpstr>
      <vt:lpstr>merchant_master</vt:lpstr>
      <vt:lpstr>exchange_rates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Shah</dc:creator>
  <cp:lastModifiedBy>Diya Shah</cp:lastModifiedBy>
  <dcterms:created xsi:type="dcterms:W3CDTF">2026-05-05T15:28:30Z</dcterms:created>
  <dcterms:modified xsi:type="dcterms:W3CDTF">2026-05-05T16:53:52Z</dcterms:modified>
</cp:coreProperties>
</file>